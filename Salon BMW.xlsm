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Studia\1 semestr\oprogramowanie uzytkowe cw\"/>
    </mc:Choice>
  </mc:AlternateContent>
  <xr:revisionPtr revIDLastSave="0" documentId="13_ncr:1_{42226974-C062-466F-8FDD-A8C22A71AA25}" xr6:coauthVersionLast="47" xr6:coauthVersionMax="47" xr10:uidLastSave="{00000000-0000-0000-0000-000000000000}"/>
  <bookViews>
    <workbookView xWindow="-120" yWindow="-120" windowWidth="29040" windowHeight="15720" xr2:uid="{75780BB8-3D5F-4CFC-B005-6BA89CA5234F}"/>
  </bookViews>
  <sheets>
    <sheet name="Wejście" sheetId="5" r:id="rId1"/>
    <sheet name="Salon BMW" sheetId="1" r:id="rId2"/>
    <sheet name="zdjęcia" sheetId="4" state="veryHidden" r:id="rId3"/>
    <sheet name="Faktura" sheetId="3" r:id="rId4"/>
  </sheets>
  <definedNames>
    <definedName name="Obraz">INDEX(zdjęcia!$A$1:$C$6,MATCH('Salon BMW'!$O$9,zdjęcia!$C$1:$C$6,0),3)</definedName>
    <definedName name="Obrazek">INDEX(zdjęcia!$A$1:$C$6,MATCH('Salon BMW'!$O$9,zdjęcia!$B$1:$B$6,0),3)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4" i="1" l="1"/>
  <c r="R21" i="1"/>
  <c r="O24" i="1" l="1"/>
  <c r="R23" i="1"/>
  <c r="P9" i="1"/>
  <c r="F19" i="3" s="1"/>
  <c r="J19" i="3" s="1"/>
  <c r="O9" i="1"/>
  <c r="B19" i="3" s="1"/>
  <c r="H21" i="3"/>
  <c r="H23" i="3"/>
  <c r="H24" i="3"/>
  <c r="H25" i="3"/>
  <c r="H22" i="3"/>
  <c r="H8" i="3"/>
  <c r="H6" i="3"/>
  <c r="P18" i="1"/>
  <c r="F25" i="3" s="1"/>
  <c r="O18" i="1"/>
  <c r="B25" i="3" s="1"/>
  <c r="P17" i="1"/>
  <c r="F24" i="3" s="1"/>
  <c r="O17" i="1"/>
  <c r="B24" i="3" s="1"/>
  <c r="P16" i="1"/>
  <c r="F23" i="3" s="1"/>
  <c r="O16" i="1"/>
  <c r="B23" i="3" s="1"/>
  <c r="S15" i="1"/>
  <c r="F20" i="3" s="1"/>
  <c r="J20" i="3" s="1"/>
  <c r="L20" i="3" s="1"/>
  <c r="R15" i="1"/>
  <c r="B20" i="3" s="1"/>
  <c r="P15" i="1"/>
  <c r="F22" i="3" s="1"/>
  <c r="O15" i="1"/>
  <c r="B22" i="3" s="1"/>
  <c r="P14" i="1"/>
  <c r="O14" i="1"/>
  <c r="B21" i="3" s="1"/>
  <c r="P11" i="1"/>
  <c r="O11" i="1"/>
  <c r="F21" i="3" l="1"/>
  <c r="Q21" i="3" s="1"/>
  <c r="J21" i="3" s="1"/>
  <c r="S21" i="3" s="1"/>
  <c r="L21" i="3" s="1"/>
  <c r="G19" i="1"/>
  <c r="D1" i="4"/>
  <c r="Q23" i="3"/>
  <c r="J23" i="3" s="1"/>
  <c r="S23" i="3" s="1"/>
  <c r="L23" i="3" s="1"/>
  <c r="Q25" i="3"/>
  <c r="J25" i="3" s="1"/>
  <c r="S25" i="3" s="1"/>
  <c r="L25" i="3" s="1"/>
  <c r="Q24" i="3"/>
  <c r="J24" i="3" s="1"/>
  <c r="S24" i="3" s="1"/>
  <c r="L24" i="3" s="1"/>
  <c r="Q22" i="3"/>
  <c r="J22" i="3" s="1"/>
  <c r="S22" i="3" s="1"/>
  <c r="L22" i="3" s="1"/>
  <c r="L19" i="3"/>
  <c r="F29" i="3" l="1"/>
  <c r="N27" i="1"/>
  <c r="G20" i="1" s="1"/>
  <c r="K29" i="3"/>
  <c r="L37" i="3" s="1"/>
  <c r="I29" i="3"/>
  <c r="R25" i="1" l="1"/>
  <c r="U127" i="1" s="1"/>
  <c r="L34" i="3"/>
  <c r="L33" i="3"/>
  <c r="L35" i="3"/>
  <c r="R31" i="3"/>
  <c r="R32" i="3"/>
  <c r="R30" i="3"/>
  <c r="V133" i="1" l="1"/>
  <c r="U74" i="1"/>
  <c r="U70" i="1"/>
  <c r="U109" i="1"/>
  <c r="V77" i="1"/>
  <c r="U118" i="1"/>
  <c r="V146" i="1"/>
  <c r="V73" i="1"/>
  <c r="U32" i="1"/>
  <c r="U60" i="1"/>
  <c r="U114" i="1"/>
  <c r="U49" i="1"/>
  <c r="U58" i="1"/>
  <c r="V136" i="1"/>
  <c r="V148" i="1"/>
  <c r="U115" i="1"/>
  <c r="U90" i="1"/>
  <c r="V130" i="1"/>
  <c r="V89" i="1"/>
  <c r="U91" i="1"/>
  <c r="V59" i="1"/>
  <c r="V51" i="1"/>
  <c r="U86" i="1"/>
  <c r="V96" i="1"/>
  <c r="V54" i="1"/>
  <c r="U141" i="1"/>
  <c r="U87" i="1"/>
  <c r="V102" i="1"/>
  <c r="U116" i="1"/>
  <c r="U44" i="1"/>
  <c r="V70" i="1"/>
  <c r="U135" i="1"/>
  <c r="V76" i="1"/>
  <c r="U125" i="1"/>
  <c r="V128" i="1"/>
  <c r="V104" i="1"/>
  <c r="V137" i="1"/>
  <c r="V29" i="1"/>
  <c r="V52" i="1"/>
  <c r="U104" i="1"/>
  <c r="U77" i="1"/>
  <c r="Q77" i="1" s="1"/>
  <c r="V135" i="1"/>
  <c r="V66" i="1"/>
  <c r="U68" i="1"/>
  <c r="U143" i="1"/>
  <c r="U138" i="1"/>
  <c r="U38" i="1"/>
  <c r="U62" i="1"/>
  <c r="U64" i="1"/>
  <c r="U119" i="1"/>
  <c r="U139" i="1"/>
  <c r="U121" i="1"/>
  <c r="V49" i="1"/>
  <c r="V46" i="1"/>
  <c r="U117" i="1"/>
  <c r="V44" i="1"/>
  <c r="V43" i="1"/>
  <c r="V122" i="1"/>
  <c r="U51" i="1"/>
  <c r="V111" i="1"/>
  <c r="U105" i="1"/>
  <c r="V63" i="1"/>
  <c r="U33" i="1"/>
  <c r="U61" i="1"/>
  <c r="U100" i="1"/>
  <c r="V79" i="1"/>
  <c r="V86" i="1"/>
  <c r="Q86" i="1" s="1"/>
  <c r="V50" i="1"/>
  <c r="V126" i="1"/>
  <c r="V53" i="1"/>
  <c r="U140" i="1"/>
  <c r="V125" i="1"/>
  <c r="V47" i="1"/>
  <c r="U81" i="1"/>
  <c r="U37" i="1"/>
  <c r="U56" i="1"/>
  <c r="U53" i="1"/>
  <c r="V141" i="1"/>
  <c r="V120" i="1"/>
  <c r="U59" i="1"/>
  <c r="V72" i="1"/>
  <c r="U131" i="1"/>
  <c r="U31" i="1"/>
  <c r="U102" i="1"/>
  <c r="Q102" i="1" s="1"/>
  <c r="U67" i="1"/>
  <c r="U21" i="1"/>
  <c r="U137" i="1"/>
  <c r="V32" i="1"/>
  <c r="V85" i="1"/>
  <c r="V142" i="1"/>
  <c r="U110" i="1"/>
  <c r="V106" i="1"/>
  <c r="U42" i="1"/>
  <c r="V112" i="1"/>
  <c r="V129" i="1"/>
  <c r="V88" i="1"/>
  <c r="V71" i="1"/>
  <c r="V37" i="1"/>
  <c r="U79" i="1"/>
  <c r="V93" i="1"/>
  <c r="U39" i="1"/>
  <c r="U63" i="1"/>
  <c r="Q63" i="1" s="1"/>
  <c r="U134" i="1"/>
  <c r="U48" i="1"/>
  <c r="V140" i="1"/>
  <c r="U146" i="1"/>
  <c r="U136" i="1"/>
  <c r="V108" i="1"/>
  <c r="U133" i="1"/>
  <c r="Q133" i="1" s="1"/>
  <c r="V123" i="1"/>
  <c r="U108" i="1"/>
  <c r="V83" i="1"/>
  <c r="V134" i="1"/>
  <c r="U72" i="1"/>
  <c r="U145" i="1"/>
  <c r="V132" i="1"/>
  <c r="U126" i="1"/>
  <c r="U76" i="1"/>
  <c r="U40" i="1"/>
  <c r="V147" i="1"/>
  <c r="V98" i="1"/>
  <c r="V119" i="1"/>
  <c r="V78" i="1"/>
  <c r="U96" i="1"/>
  <c r="U46" i="1"/>
  <c r="V139" i="1"/>
  <c r="V42" i="1"/>
  <c r="U147" i="1"/>
  <c r="V116" i="1"/>
  <c r="U113" i="1"/>
  <c r="V103" i="1"/>
  <c r="U80" i="1"/>
  <c r="V61" i="1"/>
  <c r="V118" i="1"/>
  <c r="V117" i="1"/>
  <c r="U111" i="1"/>
  <c r="V58" i="1"/>
  <c r="V92" i="1"/>
  <c r="U66" i="1"/>
  <c r="U84" i="1"/>
  <c r="U103" i="1"/>
  <c r="V127" i="1"/>
  <c r="Q127" i="1" s="1"/>
  <c r="V35" i="1"/>
  <c r="U129" i="1"/>
  <c r="U122" i="1"/>
  <c r="V114" i="1"/>
  <c r="U82" i="1"/>
  <c r="V38" i="1"/>
  <c r="V81" i="1"/>
  <c r="U98" i="1"/>
  <c r="V121" i="1"/>
  <c r="U47" i="1"/>
  <c r="V84" i="1"/>
  <c r="U95" i="1"/>
  <c r="V109" i="1"/>
  <c r="V40" i="1"/>
  <c r="U93" i="1"/>
  <c r="V56" i="1"/>
  <c r="V36" i="1"/>
  <c r="V55" i="1"/>
  <c r="U52" i="1"/>
  <c r="U142" i="1"/>
  <c r="V105" i="1"/>
  <c r="V138" i="1"/>
  <c r="U97" i="1"/>
  <c r="U106" i="1"/>
  <c r="V82" i="1"/>
  <c r="U50" i="1"/>
  <c r="U85" i="1"/>
  <c r="V101" i="1"/>
  <c r="U34" i="1"/>
  <c r="V145" i="1"/>
  <c r="U130" i="1"/>
  <c r="V30" i="1"/>
  <c r="V94" i="1"/>
  <c r="V39" i="1"/>
  <c r="V80" i="1"/>
  <c r="U71" i="1"/>
  <c r="V57" i="1"/>
  <c r="U83" i="1"/>
  <c r="U132" i="1"/>
  <c r="V64" i="1"/>
  <c r="U29" i="1"/>
  <c r="U99" i="1"/>
  <c r="V97" i="1"/>
  <c r="V115" i="1"/>
  <c r="U101" i="1"/>
  <c r="U55" i="1"/>
  <c r="Q55" i="1" s="1"/>
  <c r="V75" i="1"/>
  <c r="U107" i="1"/>
  <c r="V67" i="1"/>
  <c r="U123" i="1"/>
  <c r="U92" i="1"/>
  <c r="U57" i="1"/>
  <c r="V34" i="1"/>
  <c r="U35" i="1"/>
  <c r="U65" i="1"/>
  <c r="U69" i="1"/>
  <c r="V91" i="1"/>
  <c r="U73" i="1"/>
  <c r="U94" i="1"/>
  <c r="V33" i="1"/>
  <c r="V90" i="1"/>
  <c r="U120" i="1"/>
  <c r="V124" i="1"/>
  <c r="U45" i="1"/>
  <c r="V143" i="1"/>
  <c r="U36" i="1"/>
  <c r="V95" i="1"/>
  <c r="V60" i="1"/>
  <c r="V31" i="1"/>
  <c r="U112" i="1"/>
  <c r="V48" i="1"/>
  <c r="V45" i="1"/>
  <c r="U144" i="1"/>
  <c r="U75" i="1"/>
  <c r="U30" i="1"/>
  <c r="V62" i="1"/>
  <c r="V68" i="1"/>
  <c r="V110" i="1"/>
  <c r="U41" i="1"/>
  <c r="U78" i="1"/>
  <c r="V113" i="1"/>
  <c r="V74" i="1"/>
  <c r="U88" i="1"/>
  <c r="V144" i="1"/>
  <c r="U124" i="1"/>
  <c r="V100" i="1"/>
  <c r="U89" i="1"/>
  <c r="V87" i="1"/>
  <c r="V131" i="1"/>
  <c r="V69" i="1"/>
  <c r="U54" i="1"/>
  <c r="Q54" i="1" s="1"/>
  <c r="V107" i="1"/>
  <c r="V41" i="1"/>
  <c r="U128" i="1"/>
  <c r="V65" i="1"/>
  <c r="U148" i="1"/>
  <c r="V99" i="1"/>
  <c r="U43" i="1"/>
  <c r="S30" i="3"/>
  <c r="S31" i="3"/>
  <c r="M38" i="3"/>
  <c r="L40" i="3" s="1"/>
  <c r="S32" i="3"/>
  <c r="Q128" i="1" l="1"/>
  <c r="Q74" i="1"/>
  <c r="Q148" i="1"/>
  <c r="Q87" i="1"/>
  <c r="Q89" i="1"/>
  <c r="Q100" i="1"/>
  <c r="Q139" i="1"/>
  <c r="Q130" i="1"/>
  <c r="Q122" i="1"/>
  <c r="Q46" i="1"/>
  <c r="Q68" i="1"/>
  <c r="Q91" i="1"/>
  <c r="Q109" i="1"/>
  <c r="Q121" i="1"/>
  <c r="Q39" i="1"/>
  <c r="Q70" i="1"/>
  <c r="Q33" i="1"/>
  <c r="Q114" i="1"/>
  <c r="Q48" i="1"/>
  <c r="Q132" i="1"/>
  <c r="Q93" i="1"/>
  <c r="Q110" i="1"/>
  <c r="Q120" i="1"/>
  <c r="Q73" i="1"/>
  <c r="Q85" i="1"/>
  <c r="Q146" i="1"/>
  <c r="Q108" i="1"/>
  <c r="Q56" i="1"/>
  <c r="Q136" i="1"/>
  <c r="Q76" i="1"/>
  <c r="Q143" i="1"/>
  <c r="Q90" i="1"/>
  <c r="Q97" i="1"/>
  <c r="Q141" i="1"/>
  <c r="Q131" i="1"/>
  <c r="Q29" i="1"/>
  <c r="S29" i="1" s="1"/>
  <c r="Q32" i="1"/>
  <c r="Q64" i="1"/>
  <c r="Q71" i="1"/>
  <c r="Q137" i="1"/>
  <c r="Q98" i="1"/>
  <c r="Q53" i="1"/>
  <c r="Q51" i="1"/>
  <c r="Q118" i="1"/>
  <c r="Q58" i="1"/>
  <c r="Q116" i="1"/>
  <c r="Q37" i="1"/>
  <c r="Q59" i="1"/>
  <c r="Q81" i="1"/>
  <c r="Q79" i="1"/>
  <c r="Q125" i="1"/>
  <c r="Q60" i="1"/>
  <c r="Q57" i="1"/>
  <c r="Q61" i="1"/>
  <c r="Q112" i="1"/>
  <c r="Q123" i="1"/>
  <c r="Q83" i="1"/>
  <c r="Q50" i="1"/>
  <c r="Q138" i="1"/>
  <c r="Q111" i="1"/>
  <c r="Q49" i="1"/>
  <c r="Q41" i="1"/>
  <c r="Q124" i="1"/>
  <c r="Q65" i="1"/>
  <c r="Q62" i="1"/>
  <c r="Q115" i="1"/>
  <c r="Q106" i="1"/>
  <c r="Q142" i="1"/>
  <c r="Q119" i="1"/>
  <c r="Q30" i="1"/>
  <c r="Q95" i="1"/>
  <c r="Q92" i="1"/>
  <c r="Q52" i="1"/>
  <c r="Q126" i="1"/>
  <c r="Q113" i="1"/>
  <c r="Q31" i="1"/>
  <c r="Q67" i="1"/>
  <c r="Q94" i="1"/>
  <c r="Q105" i="1"/>
  <c r="Q66" i="1"/>
  <c r="Q117" i="1"/>
  <c r="Q42" i="1"/>
  <c r="Q135" i="1"/>
  <c r="Q75" i="1"/>
  <c r="Q36" i="1"/>
  <c r="Q35" i="1"/>
  <c r="Q145" i="1"/>
  <c r="Q47" i="1"/>
  <c r="Q38" i="1"/>
  <c r="Q129" i="1"/>
  <c r="Q96" i="1"/>
  <c r="Q44" i="1"/>
  <c r="Q88" i="1"/>
  <c r="Q104" i="1"/>
  <c r="Q101" i="1"/>
  <c r="Q72" i="1"/>
  <c r="Q134" i="1"/>
  <c r="Q140" i="1"/>
  <c r="Q144" i="1"/>
  <c r="Q84" i="1"/>
  <c r="Q80" i="1"/>
  <c r="Q103" i="1"/>
  <c r="Q78" i="1"/>
  <c r="Q147" i="1"/>
  <c r="T21" i="1"/>
  <c r="W21" i="1" s="1"/>
  <c r="Q34" i="1"/>
  <c r="Q82" i="1"/>
  <c r="Q40" i="1"/>
  <c r="Q99" i="1"/>
  <c r="Q45" i="1"/>
  <c r="Q69" i="1"/>
  <c r="Q107" i="1"/>
  <c r="Q43" i="1"/>
  <c r="R26" i="1" l="1"/>
  <c r="G25" i="1" s="1"/>
  <c r="S30" i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</calcChain>
</file>

<file path=xl/sharedStrings.xml><?xml version="1.0" encoding="utf-8"?>
<sst xmlns="http://schemas.openxmlformats.org/spreadsheetml/2006/main" count="80" uniqueCount="73">
  <si>
    <t>BMW serii 4 Coupé M</t>
  </si>
  <si>
    <t>BMW X5</t>
  </si>
  <si>
    <t>BMW serii 2 Coupé</t>
  </si>
  <si>
    <t>BMW serii 3 Limuzyna</t>
  </si>
  <si>
    <t>Benzyna</t>
  </si>
  <si>
    <t>Diesel</t>
  </si>
  <si>
    <t>Czerwony</t>
  </si>
  <si>
    <t>Niebieski</t>
  </si>
  <si>
    <t>Biały</t>
  </si>
  <si>
    <t>Czarny</t>
  </si>
  <si>
    <t>Fioletowy</t>
  </si>
  <si>
    <t>Manhattan</t>
  </si>
  <si>
    <t>Srebrny</t>
  </si>
  <si>
    <t>Żółty</t>
  </si>
  <si>
    <t>Pomarańczowy</t>
  </si>
  <si>
    <t>Data sprzedaży:</t>
  </si>
  <si>
    <t>Dane nabywcy:</t>
  </si>
  <si>
    <t>Dane sprzedawcy:</t>
  </si>
  <si>
    <t>Miejsce wystawienia:</t>
  </si>
  <si>
    <t>ŁÓDŹ</t>
  </si>
  <si>
    <t>Data wystawienia:</t>
  </si>
  <si>
    <t>BMW POLSKA</t>
  </si>
  <si>
    <t>Piłsudskiego 93</t>
  </si>
  <si>
    <t>91-123 Łódź</t>
  </si>
  <si>
    <t>Faktura VAT 00001/2022 oryginał</t>
  </si>
  <si>
    <t>LP</t>
  </si>
  <si>
    <t>Nazwa modelu/dodatkowej opcji</t>
  </si>
  <si>
    <t>Wartość netto</t>
  </si>
  <si>
    <t>Kwota podatku</t>
  </si>
  <si>
    <t>Stawka podatku</t>
  </si>
  <si>
    <t>Wartość brutto</t>
  </si>
  <si>
    <t>Łączna wartość netto:</t>
  </si>
  <si>
    <t>Łączna kwota podatku:</t>
  </si>
  <si>
    <t>Łączna wartość brutto:</t>
  </si>
  <si>
    <t>Rabat</t>
  </si>
  <si>
    <t>Rabaty vat</t>
  </si>
  <si>
    <t>[%]</t>
  </si>
  <si>
    <t>Wystawił(a):</t>
  </si>
  <si>
    <t>Karol Namieciński</t>
  </si>
  <si>
    <t>Zakup powyżej 300 000 zł brutto</t>
  </si>
  <si>
    <t>Zakup powyżej 150 000 zł brutto</t>
  </si>
  <si>
    <t>Razem:</t>
  </si>
  <si>
    <t>Rabat:</t>
  </si>
  <si>
    <t>TAK</t>
  </si>
  <si>
    <t>Zakup powyżej 500 000 zł brutto</t>
  </si>
  <si>
    <t>Razem do zapłaty:</t>
  </si>
  <si>
    <t>BMW serii 7 Limuzyna</t>
  </si>
  <si>
    <t>BMW serii 4 gran Coupé</t>
  </si>
  <si>
    <t>Raty:</t>
  </si>
  <si>
    <t>Stopa procentowa</t>
  </si>
  <si>
    <t>Liczba miesięcy</t>
  </si>
  <si>
    <t>liczba lat</t>
  </si>
  <si>
    <t>wartosc obecna</t>
  </si>
  <si>
    <t>Wysokość raty</t>
  </si>
  <si>
    <t>odsetki</t>
  </si>
  <si>
    <t>wartosc kredytu</t>
  </si>
  <si>
    <t>całość spłaty</t>
  </si>
  <si>
    <t>Data</t>
  </si>
  <si>
    <t>Wys. Raty stałej</t>
  </si>
  <si>
    <t>skum. Spłata stała</t>
  </si>
  <si>
    <t>kapitał</t>
  </si>
  <si>
    <t>liczba rat</t>
  </si>
  <si>
    <t>Łączna kwota netto:</t>
  </si>
  <si>
    <t>Przelew</t>
  </si>
  <si>
    <t>Raty</t>
  </si>
  <si>
    <t>Łączna kwota brutto:</t>
  </si>
  <si>
    <t>Ilość rat:</t>
  </si>
  <si>
    <t>Stopa procentowa:</t>
  </si>
  <si>
    <t>Wysokość raty:</t>
  </si>
  <si>
    <t>Wpłata własna:</t>
  </si>
  <si>
    <t>Karol Namiecinski</t>
  </si>
  <si>
    <t>kolumny lodz</t>
  </si>
  <si>
    <t>85-324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</si>
</sst>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#,##0\ &quot;zł&quot;;[Red]\-#,##0\ &quot;zł&quot;"/>
    <numFmt numFmtId="43" formatCode="_-* #,##0.00_-;\-* #,##0.00_-;_-* &quot;-&quot;??_-;_-@_-"/>
    <numFmt numFmtId="164" formatCode="#,##0.00\ &quot;zł&quot;"/>
  </numFmts>
  <fonts count="8" x14ac:knownFonts="1">
    <font>
      <sz val="11"/>
      <color theme="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87">
    <xf numFmtId="0" fontId="0" fillId="0" borderId="0" xfId="0"/>
    <xf numFmtId="164" fontId="0" fillId="0" borderId="0" xfId="0" applyNumberFormat="1"/>
    <xf numFmtId="0" fontId="0" fillId="0" borderId="0" xfId="0" applyAlignment="1"/>
    <xf numFmtId="0" fontId="0" fillId="0" borderId="1" xfId="0" applyBorder="1"/>
    <xf numFmtId="9" fontId="0" fillId="0" borderId="1" xfId="0" applyNumberFormat="1" applyBorder="1"/>
    <xf numFmtId="9" fontId="0" fillId="0" borderId="0" xfId="0" applyNumberFormat="1"/>
    <xf numFmtId="0" fontId="5" fillId="0" borderId="0" xfId="0" applyFont="1" applyAlignment="1"/>
    <xf numFmtId="0" fontId="0" fillId="0" borderId="0" xfId="0" applyProtection="1">
      <protection hidden="1"/>
    </xf>
    <xf numFmtId="164" fontId="0" fillId="0" borderId="0" xfId="0" applyNumberFormat="1" applyProtection="1">
      <protection hidden="1"/>
    </xf>
    <xf numFmtId="6" fontId="0" fillId="0" borderId="0" xfId="0" applyNumberFormat="1" applyProtection="1">
      <protection hidden="1"/>
    </xf>
    <xf numFmtId="0" fontId="0" fillId="0" borderId="0" xfId="0" applyProtection="1">
      <protection locked="0" hidden="1"/>
    </xf>
    <xf numFmtId="9" fontId="0" fillId="0" borderId="0" xfId="0" applyNumberFormat="1" applyProtection="1">
      <protection hidden="1"/>
    </xf>
    <xf numFmtId="164" fontId="0" fillId="3" borderId="9" xfId="0" applyNumberFormat="1" applyFill="1" applyBorder="1"/>
    <xf numFmtId="0" fontId="0" fillId="7" borderId="1" xfId="0" applyFill="1" applyBorder="1" applyAlignment="1">
      <alignment horizontal="center"/>
    </xf>
    <xf numFmtId="0" fontId="3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0" fillId="8" borderId="0" xfId="0" applyFill="1"/>
    <xf numFmtId="0" fontId="0" fillId="9" borderId="0" xfId="0" applyFill="1"/>
    <xf numFmtId="0" fontId="3" fillId="8" borderId="11" xfId="0" applyFont="1" applyFill="1" applyBorder="1" applyAlignment="1" applyProtection="1"/>
    <xf numFmtId="0" fontId="0" fillId="8" borderId="0" xfId="0" applyFill="1" applyBorder="1" applyAlignment="1" applyProtection="1"/>
    <xf numFmtId="164" fontId="0" fillId="8" borderId="0" xfId="0" applyNumberFormat="1" applyFill="1" applyBorder="1" applyProtection="1"/>
    <xf numFmtId="0" fontId="0" fillId="8" borderId="0" xfId="0" applyFill="1" applyBorder="1" applyProtection="1"/>
    <xf numFmtId="9" fontId="0" fillId="8" borderId="0" xfId="0" applyNumberFormat="1" applyFill="1" applyBorder="1" applyAlignment="1" applyProtection="1"/>
    <xf numFmtId="164" fontId="0" fillId="8" borderId="0" xfId="0" applyNumberFormat="1" applyFill="1" applyBorder="1" applyAlignment="1" applyProtection="1"/>
    <xf numFmtId="0" fontId="3" fillId="9" borderId="0" xfId="0" applyFont="1" applyFill="1" applyBorder="1" applyAlignment="1"/>
    <xf numFmtId="0" fontId="0" fillId="9" borderId="0" xfId="0" applyFill="1" applyBorder="1" applyAlignment="1"/>
    <xf numFmtId="164" fontId="0" fillId="3" borderId="5" xfId="0" applyNumberFormat="1" applyFill="1" applyBorder="1"/>
    <xf numFmtId="0" fontId="3" fillId="8" borderId="0" xfId="0" applyFont="1" applyFill="1" applyBorder="1" applyAlignment="1" applyProtection="1"/>
    <xf numFmtId="164" fontId="0" fillId="4" borderId="16" xfId="0" applyNumberFormat="1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  <protection locked="0"/>
    </xf>
    <xf numFmtId="9" fontId="0" fillId="4" borderId="12" xfId="0" applyNumberFormat="1" applyFill="1" applyBorder="1" applyAlignment="1" applyProtection="1">
      <alignment horizontal="center"/>
    </xf>
    <xf numFmtId="0" fontId="0" fillId="5" borderId="2" xfId="0" applyFill="1" applyBorder="1" applyAlignment="1" applyProtection="1"/>
    <xf numFmtId="0" fontId="0" fillId="5" borderId="3" xfId="0" applyFill="1" applyBorder="1" applyAlignment="1" applyProtection="1"/>
    <xf numFmtId="0" fontId="0" fillId="5" borderId="4" xfId="0" applyFill="1" applyBorder="1" applyAlignment="1" applyProtection="1"/>
    <xf numFmtId="0" fontId="0" fillId="4" borderId="1" xfId="0" applyFill="1" applyBorder="1" applyProtection="1"/>
    <xf numFmtId="164" fontId="0" fillId="4" borderId="18" xfId="0" applyNumberFormat="1" applyFill="1" applyBorder="1" applyAlignment="1" applyProtection="1">
      <alignment horizontal="center"/>
      <protection locked="0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9" borderId="17" xfId="0" applyFill="1" applyBorder="1" applyAlignment="1" applyProtection="1">
      <alignment horizontal="center"/>
    </xf>
    <xf numFmtId="9" fontId="0" fillId="8" borderId="17" xfId="0" applyNumberFormat="1" applyFill="1" applyBorder="1" applyAlignment="1" applyProtection="1">
      <alignment horizontal="center"/>
    </xf>
    <xf numFmtId="0" fontId="0" fillId="8" borderId="17" xfId="0" applyFill="1" applyBorder="1" applyAlignment="1" applyProtection="1">
      <alignment horizontal="center"/>
    </xf>
    <xf numFmtId="0" fontId="0" fillId="5" borderId="18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9" borderId="0" xfId="0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164" fontId="0" fillId="8" borderId="0" xfId="0" applyNumberFormat="1" applyFill="1" applyBorder="1" applyAlignment="1" applyProtection="1">
      <alignment horizontal="center"/>
    </xf>
    <xf numFmtId="43" fontId="0" fillId="8" borderId="0" xfId="1" applyFont="1" applyFill="1" applyBorder="1" applyAlignment="1" applyProtection="1">
      <alignment horizontal="center"/>
    </xf>
    <xf numFmtId="43" fontId="0" fillId="9" borderId="0" xfId="1" applyFont="1" applyFill="1" applyBorder="1" applyAlignment="1" applyProtection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7" borderId="2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3" fillId="0" borderId="1" xfId="0" applyFont="1" applyBorder="1" applyAlignment="1">
      <alignment horizontal="center" vertical="top"/>
    </xf>
    <xf numFmtId="9" fontId="0" fillId="0" borderId="1" xfId="0" applyNumberFormat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</cellXfs>
  <cellStyles count="2">
    <cellStyle name="Dziesiętny" xfId="1" builtinId="3"/>
    <cellStyle name="Normalny" xfId="0" builtinId="0"/>
  </cellStyles>
  <dxfs count="0"/>
  <tableStyles count="0" defaultTableStyle="TableStyleMedium2" defaultPivotStyle="PivotStyleLight16"/>
  <colors>
    <mruColors>
      <color rgb="FF4A6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N$9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fmlaLink="$N$1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CheckBox" fmlaLink="$N$14" lockText="1" noThreeD="1"/>
</file>

<file path=xl/ctrlProps/ctrlProp11.xml><?xml version="1.0" encoding="utf-8"?>
<formControlPr xmlns="http://schemas.microsoft.com/office/spreadsheetml/2009/9/main" objectType="CheckBox" fmlaLink="$N$15" lockText="1" noThreeD="1"/>
</file>

<file path=xl/ctrlProps/ctrlProp12.xml><?xml version="1.0" encoding="utf-8"?>
<formControlPr xmlns="http://schemas.microsoft.com/office/spreadsheetml/2009/9/main" objectType="CheckBox" fmlaLink="$N$16" lockText="1" noThreeD="1"/>
</file>

<file path=xl/ctrlProps/ctrlProp13.xml><?xml version="1.0" encoding="utf-8"?>
<formControlPr xmlns="http://schemas.microsoft.com/office/spreadsheetml/2009/9/main" objectType="CheckBox" fmlaLink="$N$17" lockText="1" noThreeD="1"/>
</file>

<file path=xl/ctrlProps/ctrlProp14.xml><?xml version="1.0" encoding="utf-8"?>
<formControlPr xmlns="http://schemas.microsoft.com/office/spreadsheetml/2009/9/main" objectType="CheckBox" fmlaLink="$N$18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Drop" dropStyle="combo" dx="22" fmlaLink="$Q$15" fmlaRange="$R$5:$R$13" noThreeD="1" sel="1" val="0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Scroll" dx="22" fmlaLink="$G$23" horiz="1" max="120" page="10" val="0"/>
</file>

<file path=xl/ctrlProps/ctrlProp22.xml><?xml version="1.0" encoding="utf-8"?>
<formControlPr xmlns="http://schemas.microsoft.com/office/spreadsheetml/2009/9/main" objectType="Radio" checked="Checked" firstButton="1" fmlaLink="$N$24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171450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Rozpocznij Konfiguracje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11</xdr:row>
          <xdr:rowOff>171450</xdr:rowOff>
        </xdr:from>
        <xdr:to>
          <xdr:col>8</xdr:col>
          <xdr:colOff>571500</xdr:colOff>
          <xdr:row>15</xdr:row>
          <xdr:rowOff>19050</xdr:rowOff>
        </xdr:to>
        <xdr:grpSp>
          <xdr:nvGrpSpPr>
            <xdr:cNvPr id="4" name="Grupa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5229225" y="1504950"/>
              <a:ext cx="1304925" cy="609600"/>
              <a:chOff x="2343150" y="2371725"/>
              <a:chExt cx="1457325" cy="609600"/>
            </a:xfrm>
          </xdr:grpSpPr>
          <xdr:sp macro="" textlink="">
            <xdr:nvSpPr>
              <xdr:cNvPr id="1037" name="Option 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100-00000D040000}"/>
                  </a:ext>
                </a:extLst>
              </xdr:cNvPr>
              <xdr:cNvSpPr/>
            </xdr:nvSpPr>
            <xdr:spPr bwMode="auto">
              <a:xfrm>
                <a:off x="2409824" y="24574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Benzyna</a:t>
                </a:r>
              </a:p>
            </xdr:txBody>
          </xdr:sp>
          <xdr:sp macro="" textlink="">
            <xdr:nvSpPr>
              <xdr:cNvPr id="1038" name="Option 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2409824" y="2657475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Diesel</a:t>
                </a:r>
              </a:p>
            </xdr:txBody>
          </xdr:sp>
          <xdr:sp macro="" textlink="">
            <xdr:nvSpPr>
              <xdr:cNvPr id="1039" name="Group Box 15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343150" y="2371725"/>
                <a:ext cx="1457325" cy="609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Rodzaj paliwa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18</xdr:row>
          <xdr:rowOff>180975</xdr:rowOff>
        </xdr:from>
        <xdr:to>
          <xdr:col>2</xdr:col>
          <xdr:colOff>457200</xdr:colOff>
          <xdr:row>24</xdr:row>
          <xdr:rowOff>161925</xdr:rowOff>
        </xdr:to>
        <xdr:grpSp>
          <xdr:nvGrpSpPr>
            <xdr:cNvPr id="3" name="Grupa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171450" y="2857500"/>
              <a:ext cx="1504950" cy="1152525"/>
              <a:chOff x="2324100" y="3105150"/>
              <a:chExt cx="1504950" cy="1143000"/>
            </a:xfrm>
          </xdr:grpSpPr>
          <xdr:sp macro="" textlink="">
            <xdr:nvSpPr>
              <xdr:cNvPr id="1040" name="Check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100-000010040000}"/>
                  </a:ext>
                </a:extLst>
              </xdr:cNvPr>
              <xdr:cNvSpPr/>
            </xdr:nvSpPr>
            <xdr:spPr bwMode="auto">
              <a:xfrm>
                <a:off x="2409825" y="3228975"/>
                <a:ext cx="1152526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Koła aluminiowe 19"</a:t>
                </a:r>
              </a:p>
            </xdr:txBody>
          </xdr:sp>
          <xdr:sp macro="" textlink="">
            <xdr:nvSpPr>
              <xdr:cNvPr id="1041" name="Check Box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2409824" y="3409950"/>
                <a:ext cx="10953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Dach z Carbonu</a:t>
                </a:r>
              </a:p>
            </xdr:txBody>
          </xdr:sp>
          <xdr:sp macro="" textlink="">
            <xdr:nvSpPr>
              <xdr:cNvPr id="1042" name="Check Box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2409826" y="3581399"/>
                <a:ext cx="1257300" cy="2667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Oświetlenie Xenonowe</a:t>
                </a:r>
              </a:p>
            </xdr:txBody>
          </xdr:sp>
          <xdr:sp macro="" textlink="">
            <xdr:nvSpPr>
              <xdr:cNvPr id="1044" name="Check Box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2409825" y="3809999"/>
                <a:ext cx="1362075" cy="1905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Klimatyzacja 4-strefowa</a:t>
                </a:r>
              </a:p>
            </xdr:txBody>
          </xdr:sp>
          <xdr:sp macro="" textlink="">
            <xdr:nvSpPr>
              <xdr:cNvPr id="1045" name="Check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100-000015040000}"/>
                  </a:ext>
                </a:extLst>
              </xdr:cNvPr>
              <xdr:cNvSpPr/>
            </xdr:nvSpPr>
            <xdr:spPr bwMode="auto">
              <a:xfrm>
                <a:off x="2409825" y="3971925"/>
                <a:ext cx="1390650" cy="24765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Skórzane sportowe fotele</a:t>
                </a:r>
              </a:p>
            </xdr:txBody>
          </xdr:sp>
          <xdr:sp macro="" textlink="">
            <xdr:nvSpPr>
              <xdr:cNvPr id="1047" name="Group Box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100-000017040000}"/>
                  </a:ext>
                </a:extLst>
              </xdr:cNvPr>
              <xdr:cNvSpPr/>
            </xdr:nvSpPr>
            <xdr:spPr bwMode="auto">
              <a:xfrm>
                <a:off x="2324100" y="3105150"/>
                <a:ext cx="1504950" cy="1143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Dodatkowe opcje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38098</xdr:rowOff>
        </xdr:from>
        <xdr:to>
          <xdr:col>9</xdr:col>
          <xdr:colOff>733425</xdr:colOff>
          <xdr:row>19</xdr:row>
          <xdr:rowOff>171450</xdr:rowOff>
        </xdr:to>
        <xdr:grpSp>
          <xdr:nvGrpSpPr>
            <xdr:cNvPr id="5" name="Grupa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5029200" y="2324098"/>
              <a:ext cx="2276475" cy="723902"/>
              <a:chOff x="5931190" y="981072"/>
              <a:chExt cx="1619250" cy="610027"/>
            </a:xfrm>
          </xdr:grpSpPr>
          <xdr:sp macro="" textlink="">
            <xdr:nvSpPr>
              <xdr:cNvPr id="1050" name="Drop Dow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6086474" y="1143000"/>
                <a:ext cx="1416545" cy="284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1" name="Group Box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100-00001B040000}"/>
                  </a:ext>
                </a:extLst>
              </xdr:cNvPr>
              <xdr:cNvSpPr/>
            </xdr:nvSpPr>
            <xdr:spPr bwMode="auto">
              <a:xfrm>
                <a:off x="5931190" y="981072"/>
                <a:ext cx="1619250" cy="61002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Kolor lakieru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47625</xdr:rowOff>
        </xdr:from>
        <xdr:to>
          <xdr:col>6</xdr:col>
          <xdr:colOff>228600</xdr:colOff>
          <xdr:row>28</xdr:row>
          <xdr:rowOff>114300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Zakończ konfiguracje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66671</xdr:colOff>
          <xdr:row>7</xdr:row>
          <xdr:rowOff>133350</xdr:rowOff>
        </xdr:from>
        <xdr:to>
          <xdr:col>2</xdr:col>
          <xdr:colOff>428621</xdr:colOff>
          <xdr:row>16</xdr:row>
          <xdr:rowOff>152401</xdr:rowOff>
        </xdr:to>
        <xdr:grpSp>
          <xdr:nvGrpSpPr>
            <xdr:cNvPr id="6" name="Grupa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pSpPr/>
          </xdr:nvGrpSpPr>
          <xdr:grpSpPr>
            <a:xfrm>
              <a:off x="66671" y="704850"/>
              <a:ext cx="1581150" cy="1733551"/>
              <a:chOff x="2305046" y="542925"/>
              <a:chExt cx="1581150" cy="1733551"/>
            </a:xfrm>
          </xdr:grpSpPr>
          <xdr:grpSp>
            <xdr:nvGrpSpPr>
              <xdr:cNvPr id="2" name="Grupa 1">
                <a:extLs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GrpSpPr/>
            </xdr:nvGrpSpPr>
            <xdr:grpSpPr>
              <a:xfrm>
                <a:off x="2305046" y="542925"/>
                <a:ext cx="1581150" cy="1733551"/>
                <a:chOff x="2343143" y="981075"/>
                <a:chExt cx="1464026" cy="1360508"/>
              </a:xfrm>
            </xdr:grpSpPr>
            <xdr:sp macro="" textlink="">
              <xdr:nvSpPr>
                <xdr:cNvPr id="1027" name="Option Button 3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100-000003040000}"/>
                    </a:ext>
                  </a:extLst>
                </xdr:cNvPr>
                <xdr:cNvSpPr/>
              </xdr:nvSpPr>
              <xdr:spPr bwMode="auto">
                <a:xfrm>
                  <a:off x="2409118" y="1140949"/>
                  <a:ext cx="1266825" cy="20955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pl-PL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BMW serii 4 Coupé M</a:t>
                  </a:r>
                </a:p>
              </xdr:txBody>
            </xdr:sp>
            <xdr:sp macro="" textlink="">
              <xdr:nvSpPr>
                <xdr:cNvPr id="1028" name="Option Button 4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100-000004040000}"/>
                    </a:ext>
                  </a:extLst>
                </xdr:cNvPr>
                <xdr:cNvSpPr/>
              </xdr:nvSpPr>
              <xdr:spPr bwMode="auto">
                <a:xfrm>
                  <a:off x="2409825" y="1323975"/>
                  <a:ext cx="942975" cy="2095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pl-PL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BMW X5</a:t>
                  </a:r>
                </a:p>
              </xdr:txBody>
            </xdr:sp>
            <xdr:sp macro="" textlink="">
              <xdr:nvSpPr>
                <xdr:cNvPr id="1029" name="Option Button 5" hidden="1">
                  <a:extLst>
                    <a:ext uri="{63B3BB69-23CF-44E3-9099-C40C66FF867C}">
                      <a14:compatExt spid="_x0000_s1029"/>
                    </a:ext>
                    <a:ext uri="{FF2B5EF4-FFF2-40B4-BE49-F238E27FC236}">
                      <a16:creationId xmlns:a16="http://schemas.microsoft.com/office/drawing/2014/main" id="{00000000-0008-0000-0100-000005040000}"/>
                    </a:ext>
                  </a:extLst>
                </xdr:cNvPr>
                <xdr:cNvSpPr/>
              </xdr:nvSpPr>
              <xdr:spPr bwMode="auto">
                <a:xfrm>
                  <a:off x="2409825" y="1514475"/>
                  <a:ext cx="1200150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pl-PL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BMW serii 3 Limuzyna</a:t>
                  </a:r>
                </a:p>
              </xdr:txBody>
            </xdr:sp>
            <xdr:sp macro="" textlink="">
              <xdr:nvSpPr>
                <xdr:cNvPr id="1030" name="Option Button 6" hidden="1">
                  <a:extLst>
                    <a:ext uri="{63B3BB69-23CF-44E3-9099-C40C66FF867C}">
                      <a14:compatExt spid="_x0000_s1030"/>
                    </a:ext>
                    <a:ext uri="{FF2B5EF4-FFF2-40B4-BE49-F238E27FC236}">
                      <a16:creationId xmlns:a16="http://schemas.microsoft.com/office/drawing/2014/main" id="{00000000-0008-0000-0100-000006040000}"/>
                    </a:ext>
                  </a:extLst>
                </xdr:cNvPr>
                <xdr:cNvSpPr/>
              </xdr:nvSpPr>
              <xdr:spPr bwMode="auto">
                <a:xfrm>
                  <a:off x="2401006" y="1714500"/>
                  <a:ext cx="1076324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pl-PL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BMW serii 2 Coupé</a:t>
                  </a:r>
                </a:p>
              </xdr:txBody>
            </xdr:sp>
            <xdr:sp macro="" textlink="">
              <xdr:nvSpPr>
                <xdr:cNvPr id="1031" name="Group Box 7" hidden="1">
                  <a:extLst>
                    <a:ext uri="{63B3BB69-23CF-44E3-9099-C40C66FF867C}">
                      <a14:compatExt spid="_x0000_s1031"/>
                    </a:ext>
                    <a:ext uri="{FF2B5EF4-FFF2-40B4-BE49-F238E27FC236}">
                      <a16:creationId xmlns:a16="http://schemas.microsoft.com/office/drawing/2014/main" id="{00000000-0008-0000-0100-000007040000}"/>
                    </a:ext>
                  </a:extLst>
                </xdr:cNvPr>
                <xdr:cNvSpPr/>
              </xdr:nvSpPr>
              <xdr:spPr bwMode="auto">
                <a:xfrm>
                  <a:off x="2343143" y="981075"/>
                  <a:ext cx="1464026" cy="13605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pl-PL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Model</a:t>
                  </a:r>
                </a:p>
              </xdr:txBody>
            </xdr:sp>
          </xdr:grpSp>
          <xdr:sp macro="" textlink="">
            <xdr:nvSpPr>
              <xdr:cNvPr id="1076" name="Option Button 52" hidden="1">
                <a:extLst>
                  <a:ext uri="{63B3BB69-23CF-44E3-9099-C40C66FF867C}">
                    <a14:compatExt spid="_x0000_s1076"/>
                  </a:ext>
                  <a:ext uri="{FF2B5EF4-FFF2-40B4-BE49-F238E27FC236}">
                    <a16:creationId xmlns:a16="http://schemas.microsoft.com/office/drawing/2014/main" id="{00000000-0008-0000-0100-000034040000}"/>
                  </a:ext>
                </a:extLst>
              </xdr:cNvPr>
              <xdr:cNvSpPr/>
            </xdr:nvSpPr>
            <xdr:spPr bwMode="auto">
              <a:xfrm>
                <a:off x="2381249" y="1724025"/>
                <a:ext cx="1400176" cy="2190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BMW serii 4 gran Coupé</a:t>
                </a:r>
              </a:p>
            </xdr:txBody>
          </xdr:sp>
          <xdr:sp macro="" textlink="">
            <xdr:nvSpPr>
              <xdr:cNvPr id="1080" name="Option Button 56" hidden="1">
                <a:extLst>
                  <a:ext uri="{63B3BB69-23CF-44E3-9099-C40C66FF867C}">
                    <a14:compatExt spid="_x0000_s1080"/>
                  </a:ext>
                  <a:ext uri="{FF2B5EF4-FFF2-40B4-BE49-F238E27FC236}">
                    <a16:creationId xmlns:a16="http://schemas.microsoft.com/office/drawing/2014/main" id="{00000000-0008-0000-0100-000038040000}"/>
                  </a:ext>
                </a:extLst>
              </xdr:cNvPr>
              <xdr:cNvSpPr/>
            </xdr:nvSpPr>
            <xdr:spPr bwMode="auto">
              <a:xfrm>
                <a:off x="2381250" y="1962149"/>
                <a:ext cx="12668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BMW serii 7 Limuzyna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0</xdr:rowOff>
        </xdr:from>
        <xdr:to>
          <xdr:col>6</xdr:col>
          <xdr:colOff>1123950</xdr:colOff>
          <xdr:row>24</xdr:row>
          <xdr:rowOff>9525</xdr:rowOff>
        </xdr:to>
        <xdr:sp macro="" textlink="">
          <xdr:nvSpPr>
            <xdr:cNvPr id="1089" name="Scroll Bar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490257</xdr:colOff>
          <xdr:row>6</xdr:row>
          <xdr:rowOff>114300</xdr:rowOff>
        </xdr:from>
        <xdr:to>
          <xdr:col>6</xdr:col>
          <xdr:colOff>1123950</xdr:colOff>
          <xdr:row>17</xdr:row>
          <xdr:rowOff>159124</xdr:rowOff>
        </xdr:to>
        <xdr:pic>
          <xdr:nvPicPr>
            <xdr:cNvPr id="56" name="Obraz 55" descr="BMW serii 4 Coupé M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brazek" spid="_x0000_s1126"/>
                </a:ext>
              </a:extLst>
            </xdr:cNvPicPr>
          </xdr:nvPicPr>
          <xdr:blipFill>
            <a:blip xmlns:r="http://schemas.openxmlformats.org/officeDocument/2006/relationships" r:embed="rId1">
              <a:alphaModFix/>
            </a:blip>
            <a:srcRect/>
            <a:stretch>
              <a:fillRect/>
            </a:stretch>
          </xdr:blipFill>
          <xdr:spPr bwMode="auto">
            <a:xfrm>
              <a:off x="1709457" y="495300"/>
              <a:ext cx="3272118" cy="21403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7</xdr:col>
      <xdr:colOff>152399</xdr:colOff>
      <xdr:row>0</xdr:row>
      <xdr:rowOff>0</xdr:rowOff>
    </xdr:from>
    <xdr:to>
      <xdr:col>8</xdr:col>
      <xdr:colOff>600074</xdr:colOff>
      <xdr:row>11</xdr:row>
      <xdr:rowOff>133118</xdr:rowOff>
    </xdr:to>
    <xdr:pic>
      <xdr:nvPicPr>
        <xdr:cNvPr id="35" name="Obraz 34" descr="EMBLEMAT LOGO ZNACZEK 3D BMW 50 mm 4szt. za 11,50 zł z Poznań - Allegro.pl  - (7163008429)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36" t="3187" r="51313" b="51207"/>
        <a:stretch/>
      </xdr:blipFill>
      <xdr:spPr bwMode="auto">
        <a:xfrm>
          <a:off x="5143499" y="0"/>
          <a:ext cx="1419225" cy="14666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171451</xdr:colOff>
          <xdr:row>20</xdr:row>
          <xdr:rowOff>161925</xdr:rowOff>
        </xdr:from>
        <xdr:to>
          <xdr:col>8</xdr:col>
          <xdr:colOff>409575</xdr:colOff>
          <xdr:row>24</xdr:row>
          <xdr:rowOff>47625</xdr:rowOff>
        </xdr:to>
        <xdr:grpSp>
          <xdr:nvGrpSpPr>
            <xdr:cNvPr id="11" name="Grupa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pSpPr/>
          </xdr:nvGrpSpPr>
          <xdr:grpSpPr>
            <a:xfrm>
              <a:off x="5162551" y="3238500"/>
              <a:ext cx="1209674" cy="657225"/>
              <a:chOff x="5143501" y="1962148"/>
              <a:chExt cx="1209674" cy="676275"/>
            </a:xfrm>
          </xdr:grpSpPr>
          <xdr:sp macro="" textlink="">
            <xdr:nvSpPr>
              <xdr:cNvPr id="1103" name="Option Button 79" hidden="1">
                <a:extLst>
                  <a:ext uri="{63B3BB69-23CF-44E3-9099-C40C66FF867C}">
                    <a14:compatExt spid="_x0000_s1103"/>
                  </a:ext>
                  <a:ext uri="{FF2B5EF4-FFF2-40B4-BE49-F238E27FC236}">
                    <a16:creationId xmlns:a16="http://schemas.microsoft.com/office/drawing/2014/main" id="{00000000-0008-0000-0100-00004F040000}"/>
                  </a:ext>
                </a:extLst>
              </xdr:cNvPr>
              <xdr:cNvSpPr/>
            </xdr:nvSpPr>
            <xdr:spPr bwMode="auto">
              <a:xfrm>
                <a:off x="5267325" y="2085975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Przelew</a:t>
                </a:r>
              </a:p>
            </xdr:txBody>
          </xdr:sp>
          <xdr:sp macro="" textlink="">
            <xdr:nvSpPr>
              <xdr:cNvPr id="1104" name="Option Button 80" hidden="1">
                <a:extLst>
                  <a:ext uri="{63B3BB69-23CF-44E3-9099-C40C66FF867C}">
                    <a14:compatExt spid="_x0000_s1104"/>
                  </a:ext>
                  <a:ext uri="{FF2B5EF4-FFF2-40B4-BE49-F238E27FC236}">
                    <a16:creationId xmlns:a16="http://schemas.microsoft.com/office/drawing/2014/main" id="{00000000-0008-0000-0100-000050040000}"/>
                  </a:ext>
                </a:extLst>
              </xdr:cNvPr>
              <xdr:cNvSpPr/>
            </xdr:nvSpPr>
            <xdr:spPr bwMode="auto">
              <a:xfrm>
                <a:off x="5257800" y="23431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Raty</a:t>
                </a:r>
              </a:p>
            </xdr:txBody>
          </xdr:sp>
          <xdr:sp macro="" textlink="">
            <xdr:nvSpPr>
              <xdr:cNvPr id="1106" name="Group Box 82" hidden="1">
                <a:extLst>
                  <a:ext uri="{63B3BB69-23CF-44E3-9099-C40C66FF867C}">
                    <a14:compatExt spid="_x0000_s1106"/>
                  </a:ext>
                  <a:ext uri="{FF2B5EF4-FFF2-40B4-BE49-F238E27FC236}">
                    <a16:creationId xmlns:a16="http://schemas.microsoft.com/office/drawing/2014/main" id="{00000000-0008-0000-0100-000052040000}"/>
                  </a:ext>
                </a:extLst>
              </xdr:cNvPr>
              <xdr:cNvSpPr/>
            </xdr:nvSpPr>
            <xdr:spPr bwMode="auto">
              <a:xfrm>
                <a:off x="5143501" y="1962148"/>
                <a:ext cx="1209674" cy="6762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Rodzaj płatności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112059</xdr:colOff>
      <xdr:row>0</xdr:row>
      <xdr:rowOff>156882</xdr:rowOff>
    </xdr:from>
    <xdr:to>
      <xdr:col>2</xdr:col>
      <xdr:colOff>3160059</xdr:colOff>
      <xdr:row>0</xdr:row>
      <xdr:rowOff>1985682</xdr:rowOff>
    </xdr:to>
    <xdr:pic>
      <xdr:nvPicPr>
        <xdr:cNvPr id="2" name="Obraz 1" descr="BMW serii 4 Coupé 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4794" y="156882"/>
          <a:ext cx="304800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134471</xdr:colOff>
      <xdr:row>1</xdr:row>
      <xdr:rowOff>179294</xdr:rowOff>
    </xdr:from>
    <xdr:to>
      <xdr:col>2</xdr:col>
      <xdr:colOff>3182471</xdr:colOff>
      <xdr:row>1</xdr:row>
      <xdr:rowOff>2008094</xdr:rowOff>
    </xdr:to>
    <xdr:pic>
      <xdr:nvPicPr>
        <xdr:cNvPr id="3" name="Obraz 2" descr="BMW X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7206" y="2319618"/>
          <a:ext cx="304800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112059</xdr:colOff>
      <xdr:row>2</xdr:row>
      <xdr:rowOff>123266</xdr:rowOff>
    </xdr:from>
    <xdr:to>
      <xdr:col>2</xdr:col>
      <xdr:colOff>3160059</xdr:colOff>
      <xdr:row>2</xdr:row>
      <xdr:rowOff>1952066</xdr:rowOff>
    </xdr:to>
    <xdr:pic>
      <xdr:nvPicPr>
        <xdr:cNvPr id="4" name="Obraz 3" descr="BMW serii 3 Limuzyn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4794" y="4403913"/>
          <a:ext cx="304800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112058</xdr:colOff>
      <xdr:row>3</xdr:row>
      <xdr:rowOff>156882</xdr:rowOff>
    </xdr:from>
    <xdr:to>
      <xdr:col>2</xdr:col>
      <xdr:colOff>3160058</xdr:colOff>
      <xdr:row>3</xdr:row>
      <xdr:rowOff>1985682</xdr:rowOff>
    </xdr:to>
    <xdr:pic>
      <xdr:nvPicPr>
        <xdr:cNvPr id="5" name="Obraz 4" descr="BMW serii 2 Coupé 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4793" y="6577853"/>
          <a:ext cx="304800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112058</xdr:colOff>
      <xdr:row>4</xdr:row>
      <xdr:rowOff>123265</xdr:rowOff>
    </xdr:from>
    <xdr:to>
      <xdr:col>2</xdr:col>
      <xdr:colOff>3160058</xdr:colOff>
      <xdr:row>4</xdr:row>
      <xdr:rowOff>1952065</xdr:rowOff>
    </xdr:to>
    <xdr:pic>
      <xdr:nvPicPr>
        <xdr:cNvPr id="6" name="Obraz 5" descr="BMW serii 5 Limuzyna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4793" y="8684559"/>
          <a:ext cx="304800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123264</xdr:colOff>
      <xdr:row>5</xdr:row>
      <xdr:rowOff>156882</xdr:rowOff>
    </xdr:from>
    <xdr:to>
      <xdr:col>2</xdr:col>
      <xdr:colOff>3171264</xdr:colOff>
      <xdr:row>5</xdr:row>
      <xdr:rowOff>1985682</xdr:rowOff>
    </xdr:to>
    <xdr:pic>
      <xdr:nvPicPr>
        <xdr:cNvPr id="7" name="Obraz 6" descr="BMW serii 7 Limuzyna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5999" y="10858500"/>
          <a:ext cx="3048000" cy="1828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459441</xdr:colOff>
      <xdr:row>0</xdr:row>
      <xdr:rowOff>0</xdr:rowOff>
    </xdr:from>
    <xdr:to>
      <xdr:col>4</xdr:col>
      <xdr:colOff>228387</xdr:colOff>
      <xdr:row>8</xdr:row>
      <xdr:rowOff>80024</xdr:rowOff>
    </xdr:to>
    <xdr:pic>
      <xdr:nvPicPr>
        <xdr:cNvPr id="3" name="Obraz 2" descr="BMW z nowym logo. Firma odświeża komunikację marki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41" y="0"/>
          <a:ext cx="2189417" cy="12230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F2190-2969-4E37-8BC9-AB91E23F0E43}">
  <sheetPr codeName="Arkusz4"/>
  <dimension ref="A1:F8"/>
  <sheetViews>
    <sheetView tabSelected="1" workbookViewId="0"/>
  </sheetViews>
  <sheetFormatPr defaultColWidth="0" defaultRowHeight="15" zeroHeight="1" x14ac:dyDescent="0.25"/>
  <cols>
    <col min="1" max="6" width="9.140625" customWidth="1"/>
    <col min="7" max="16384" width="9.140625" hidden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x14ac:dyDescent="0.25">
      <c r="A5" s="16"/>
      <c r="B5" s="16"/>
      <c r="C5" s="16"/>
      <c r="D5" s="16"/>
      <c r="E5" s="16"/>
      <c r="F5" s="16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6"/>
      <c r="B7" s="16"/>
      <c r="C7" s="16"/>
      <c r="D7" s="16"/>
      <c r="E7" s="16"/>
      <c r="F7" s="16"/>
    </row>
    <row r="8" spans="1:6" x14ac:dyDescent="0.25">
      <c r="A8" s="16"/>
      <c r="B8" s="16"/>
      <c r="C8" s="16"/>
      <c r="D8" s="16"/>
      <c r="E8" s="16"/>
      <c r="F8" s="16"/>
    </row>
  </sheetData>
  <sheetProtection algorithmName="SHA-512" hashValue="r1QxC22dLdl9qCc6HRvtQJMelaqckUYcLDu+FFl8nuTzzVo++kOnb1Ld826AfyeYHjY0CkzlcSKhLMyXBbQ5AQ==" saltValue="GsGjq4eyaLhxMu1reOWvNQ==" spinCount="100000"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locked="0" defaultSize="0" print="0" autoFill="0" autoPict="0" macro="[0]!Rozpocznij">
                <anchor moveWithCells="1" sizeWithCells="1">
                  <from>
                    <xdr:col>0</xdr:col>
                    <xdr:colOff>590550</xdr:colOff>
                    <xdr:row>1</xdr:row>
                    <xdr:rowOff>171450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D7C9D-8D26-4311-93C2-44B443FB9C09}">
  <sheetPr codeName="Arkusz1"/>
  <dimension ref="A1:Z229"/>
  <sheetViews>
    <sheetView topLeftCell="A5" zoomScaleNormal="100" workbookViewId="0">
      <selection activeCell="G23" sqref="G23"/>
    </sheetView>
  </sheetViews>
  <sheetFormatPr defaultColWidth="0" defaultRowHeight="15" zeroHeight="1" x14ac:dyDescent="0.25"/>
  <cols>
    <col min="1" max="4" width="9.140625" customWidth="1"/>
    <col min="5" max="5" width="12.140625" customWidth="1"/>
    <col min="6" max="6" width="9.140625" customWidth="1"/>
    <col min="7" max="7" width="17" bestFit="1" customWidth="1"/>
    <col min="8" max="8" width="14.5703125" customWidth="1"/>
    <col min="9" max="9" width="9.140625" customWidth="1"/>
    <col min="10" max="10" width="11.85546875" bestFit="1" customWidth="1"/>
    <col min="11" max="13" width="9.140625" hidden="1" customWidth="1"/>
    <col min="14" max="14" width="11.85546875" hidden="1" customWidth="1"/>
    <col min="15" max="15" width="22.28515625" hidden="1" customWidth="1"/>
    <col min="16" max="16" width="17.28515625" hidden="1" customWidth="1"/>
    <col min="17" max="17" width="15" hidden="1" customWidth="1"/>
    <col min="18" max="18" width="14.42578125" hidden="1" customWidth="1"/>
    <col min="19" max="19" width="16.85546875" hidden="1" customWidth="1"/>
    <col min="20" max="20" width="11.85546875" hidden="1" customWidth="1"/>
    <col min="21" max="21" width="15.28515625" hidden="1" customWidth="1"/>
    <col min="22" max="22" width="10.5703125" hidden="1" customWidth="1"/>
    <col min="23" max="23" width="12" hidden="1" customWidth="1"/>
    <col min="24" max="26" width="0" hidden="1" customWidth="1"/>
    <col min="27" max="16384" width="9.140625" hidden="1"/>
  </cols>
  <sheetData>
    <row r="1" spans="1:26" hidden="1" x14ac:dyDescent="0.25">
      <c r="A1" s="16"/>
      <c r="B1" s="16"/>
      <c r="C1" s="16"/>
      <c r="D1" s="16"/>
      <c r="E1" s="16"/>
      <c r="F1" s="17"/>
      <c r="G1" s="17"/>
      <c r="H1" s="17"/>
      <c r="I1" s="17"/>
      <c r="J1" s="1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idden="1" x14ac:dyDescent="0.25">
      <c r="A2" s="16"/>
      <c r="B2" s="16"/>
      <c r="C2" s="16"/>
      <c r="D2" s="16"/>
      <c r="E2" s="16"/>
      <c r="F2" s="17"/>
      <c r="G2" s="17"/>
      <c r="H2" s="17"/>
      <c r="I2" s="17"/>
      <c r="J2" s="17"/>
      <c r="N2" s="7">
        <v>1</v>
      </c>
      <c r="O2" s="7" t="s">
        <v>0</v>
      </c>
      <c r="P2" s="8">
        <v>422900</v>
      </c>
      <c r="Q2" s="7">
        <v>1</v>
      </c>
      <c r="R2" s="7" t="s">
        <v>4</v>
      </c>
      <c r="S2" s="9">
        <v>0</v>
      </c>
      <c r="T2" s="7"/>
      <c r="U2" s="7"/>
      <c r="V2" s="7"/>
      <c r="W2" s="7"/>
      <c r="X2" s="7"/>
      <c r="Y2" s="7"/>
      <c r="Z2" s="7"/>
    </row>
    <row r="3" spans="1:26" hidden="1" x14ac:dyDescent="0.25">
      <c r="A3" s="16"/>
      <c r="B3" s="16"/>
      <c r="C3" s="16"/>
      <c r="D3" s="16"/>
      <c r="E3" s="16"/>
      <c r="F3" s="17"/>
      <c r="G3" s="17"/>
      <c r="H3" s="17"/>
      <c r="I3" s="17"/>
      <c r="J3" s="17"/>
      <c r="N3" s="7">
        <v>2</v>
      </c>
      <c r="O3" s="7" t="s">
        <v>1</v>
      </c>
      <c r="P3" s="8">
        <v>339500</v>
      </c>
      <c r="Q3" s="7">
        <v>2</v>
      </c>
      <c r="R3" s="7" t="s">
        <v>5</v>
      </c>
      <c r="S3" s="9">
        <v>20000</v>
      </c>
      <c r="T3" s="7"/>
      <c r="U3" s="7"/>
      <c r="V3" s="7"/>
      <c r="W3" s="7"/>
      <c r="X3" s="7"/>
      <c r="Y3" s="7"/>
      <c r="Z3" s="7"/>
    </row>
    <row r="4" spans="1:26" hidden="1" x14ac:dyDescent="0.25">
      <c r="A4" s="16"/>
      <c r="B4" s="16"/>
      <c r="C4" s="16"/>
      <c r="D4" s="16"/>
      <c r="E4" s="16"/>
      <c r="F4" s="17"/>
      <c r="G4" s="17"/>
      <c r="H4" s="17"/>
      <c r="I4" s="17"/>
      <c r="J4" s="17"/>
      <c r="N4" s="7">
        <v>3</v>
      </c>
      <c r="O4" s="7" t="s">
        <v>3</v>
      </c>
      <c r="P4" s="8">
        <v>184300</v>
      </c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16"/>
      <c r="B5" s="16"/>
      <c r="C5" s="16"/>
      <c r="D5" s="16"/>
      <c r="E5" s="16"/>
      <c r="F5" s="17"/>
      <c r="G5" s="17"/>
      <c r="H5" s="17"/>
      <c r="I5" s="17"/>
      <c r="J5" s="17"/>
      <c r="N5" s="7">
        <v>4</v>
      </c>
      <c r="O5" s="7" t="s">
        <v>2</v>
      </c>
      <c r="P5" s="8">
        <v>149900</v>
      </c>
      <c r="Q5" s="7">
        <v>1</v>
      </c>
      <c r="R5" s="7" t="s">
        <v>8</v>
      </c>
      <c r="S5" s="8">
        <v>0</v>
      </c>
      <c r="T5" s="7"/>
      <c r="U5" s="7"/>
      <c r="V5" s="7"/>
      <c r="W5" s="7"/>
      <c r="X5" s="7"/>
      <c r="Y5" s="7"/>
      <c r="Z5" s="7"/>
    </row>
    <row r="6" spans="1:26" x14ac:dyDescent="0.25">
      <c r="A6" s="16"/>
      <c r="B6" s="16"/>
      <c r="C6" s="16"/>
      <c r="D6" s="16"/>
      <c r="E6" s="16"/>
      <c r="F6" s="17"/>
      <c r="G6" s="17"/>
      <c r="H6" s="17"/>
      <c r="I6" s="17"/>
      <c r="J6" s="17"/>
      <c r="N6" s="7">
        <v>5</v>
      </c>
      <c r="O6" s="7" t="s">
        <v>47</v>
      </c>
      <c r="P6" s="8">
        <v>226660</v>
      </c>
      <c r="Q6" s="7">
        <v>2</v>
      </c>
      <c r="R6" s="7" t="s">
        <v>7</v>
      </c>
      <c r="S6" s="8">
        <v>4400</v>
      </c>
      <c r="T6" s="7"/>
      <c r="U6" s="7"/>
      <c r="V6" s="7"/>
      <c r="W6" s="7"/>
      <c r="X6" s="7"/>
      <c r="Y6" s="7"/>
      <c r="Z6" s="7"/>
    </row>
    <row r="7" spans="1:26" x14ac:dyDescent="0.25">
      <c r="A7" s="16"/>
      <c r="B7" s="16"/>
      <c r="C7" s="16"/>
      <c r="D7" s="16"/>
      <c r="E7" s="16"/>
      <c r="F7" s="17"/>
      <c r="G7" s="17"/>
      <c r="H7" s="17"/>
      <c r="I7" s="17"/>
      <c r="J7" s="17"/>
      <c r="N7" s="7">
        <v>6</v>
      </c>
      <c r="O7" s="7" t="s">
        <v>46</v>
      </c>
      <c r="P7" s="8">
        <v>468400</v>
      </c>
      <c r="Q7" s="7">
        <v>3</v>
      </c>
      <c r="R7" s="7" t="s">
        <v>9</v>
      </c>
      <c r="S7" s="8">
        <v>4400</v>
      </c>
      <c r="T7" s="7"/>
      <c r="U7" s="7"/>
      <c r="V7" s="7"/>
      <c r="W7" s="7"/>
      <c r="X7" s="7"/>
      <c r="Y7" s="7"/>
      <c r="Z7" s="7"/>
    </row>
    <row r="8" spans="1:26" x14ac:dyDescent="0.25">
      <c r="A8" s="16"/>
      <c r="B8" s="16"/>
      <c r="C8" s="16"/>
      <c r="D8" s="16"/>
      <c r="E8" s="16"/>
      <c r="F8" s="17"/>
      <c r="G8" s="17"/>
      <c r="H8" s="17"/>
      <c r="I8" s="17"/>
      <c r="J8" s="17"/>
      <c r="N8" s="7"/>
      <c r="O8" s="7"/>
      <c r="P8" s="7"/>
      <c r="Q8" s="7">
        <v>4</v>
      </c>
      <c r="R8" s="7" t="s">
        <v>6</v>
      </c>
      <c r="S8" s="8">
        <v>9100</v>
      </c>
      <c r="T8" s="7"/>
      <c r="U8" s="7"/>
      <c r="V8" s="7"/>
      <c r="W8" s="7"/>
      <c r="X8" s="7"/>
      <c r="Y8" s="7"/>
      <c r="Z8" s="7"/>
    </row>
    <row r="9" spans="1:26" x14ac:dyDescent="0.25">
      <c r="A9" s="16"/>
      <c r="B9" s="16"/>
      <c r="C9" s="16"/>
      <c r="D9" s="16"/>
      <c r="E9" s="16"/>
      <c r="F9" s="17"/>
      <c r="G9" s="17"/>
      <c r="H9" s="17"/>
      <c r="I9" s="17"/>
      <c r="J9" s="17"/>
      <c r="N9" s="10">
        <v>1</v>
      </c>
      <c r="O9" s="7" t="str">
        <f>VLOOKUP(N9,N2:O7,2)</f>
        <v>BMW serii 4 Coupé M</v>
      </c>
      <c r="P9" s="8">
        <f>VLOOKUP(N9,N2:P7,3)</f>
        <v>422900</v>
      </c>
      <c r="Q9" s="7">
        <v>5</v>
      </c>
      <c r="R9" s="7" t="s">
        <v>10</v>
      </c>
      <c r="S9" s="8">
        <v>3600</v>
      </c>
      <c r="T9" s="7"/>
      <c r="U9" s="7"/>
      <c r="V9" s="7"/>
      <c r="W9" s="7"/>
      <c r="X9" s="7"/>
      <c r="Y9" s="7"/>
      <c r="Z9" s="7"/>
    </row>
    <row r="10" spans="1:26" ht="15" customHeight="1" x14ac:dyDescent="0.25">
      <c r="A10" s="16"/>
      <c r="B10" s="16"/>
      <c r="C10" s="16"/>
      <c r="D10" s="16"/>
      <c r="E10" s="16"/>
      <c r="F10" s="17"/>
      <c r="G10" s="17"/>
      <c r="H10" s="17"/>
      <c r="I10" s="17"/>
      <c r="J10" s="17"/>
      <c r="N10" s="7"/>
      <c r="O10" s="7"/>
      <c r="P10" s="7"/>
      <c r="Q10" s="7">
        <v>6</v>
      </c>
      <c r="R10" s="7" t="s">
        <v>11</v>
      </c>
      <c r="S10" s="8">
        <v>5300</v>
      </c>
      <c r="T10" s="7"/>
      <c r="U10" s="7"/>
      <c r="V10" s="7"/>
      <c r="W10" s="7"/>
      <c r="X10" s="7"/>
      <c r="Y10" s="7"/>
      <c r="Z10" s="7"/>
    </row>
    <row r="11" spans="1:26" x14ac:dyDescent="0.25">
      <c r="A11" s="16"/>
      <c r="B11" s="16"/>
      <c r="C11" s="16"/>
      <c r="D11" s="16"/>
      <c r="E11" s="16"/>
      <c r="F11" s="17"/>
      <c r="G11" s="17"/>
      <c r="H11" s="17"/>
      <c r="I11" s="17"/>
      <c r="J11" s="17"/>
      <c r="N11" s="10">
        <v>1</v>
      </c>
      <c r="O11" s="7" t="str">
        <f>VLOOKUP(N11,Q2:R3,2)</f>
        <v>Benzyna</v>
      </c>
      <c r="P11" s="8">
        <f>VLOOKUP(N11,Q2:S3,3)</f>
        <v>0</v>
      </c>
      <c r="Q11" s="7">
        <v>7</v>
      </c>
      <c r="R11" s="7" t="s">
        <v>12</v>
      </c>
      <c r="S11" s="8">
        <v>4400</v>
      </c>
      <c r="T11" s="7"/>
      <c r="U11" s="7"/>
      <c r="V11" s="7"/>
      <c r="W11" s="7"/>
      <c r="X11" s="7"/>
      <c r="Y11" s="7"/>
      <c r="Z11" s="7"/>
    </row>
    <row r="12" spans="1:26" x14ac:dyDescent="0.25">
      <c r="A12" s="16"/>
      <c r="B12" s="16"/>
      <c r="C12" s="16"/>
      <c r="D12" s="16"/>
      <c r="E12" s="16"/>
      <c r="F12" s="17"/>
      <c r="G12" s="17"/>
      <c r="H12" s="17"/>
      <c r="I12" s="17"/>
      <c r="J12" s="17"/>
      <c r="N12" s="7"/>
      <c r="O12" s="7"/>
      <c r="P12" s="7"/>
      <c r="Q12" s="7">
        <v>8</v>
      </c>
      <c r="R12" s="7" t="s">
        <v>13</v>
      </c>
      <c r="S12" s="8">
        <v>4400</v>
      </c>
      <c r="T12" s="7"/>
      <c r="U12" s="7"/>
      <c r="V12" s="7"/>
      <c r="W12" s="7"/>
      <c r="X12" s="7"/>
      <c r="Y12" s="7"/>
      <c r="Z12" s="7"/>
    </row>
    <row r="13" spans="1:26" x14ac:dyDescent="0.25">
      <c r="A13" s="16"/>
      <c r="B13" s="16"/>
      <c r="C13" s="16"/>
      <c r="D13" s="16"/>
      <c r="E13" s="16"/>
      <c r="F13" s="17"/>
      <c r="G13" s="17"/>
      <c r="H13" s="17"/>
      <c r="I13" s="17"/>
      <c r="J13" s="17"/>
      <c r="N13" s="7"/>
      <c r="O13" s="7"/>
      <c r="P13" s="7"/>
      <c r="Q13" s="7">
        <v>9</v>
      </c>
      <c r="R13" s="7" t="s">
        <v>14</v>
      </c>
      <c r="S13" s="8">
        <v>4400</v>
      </c>
      <c r="T13" s="7"/>
      <c r="U13" s="7"/>
      <c r="V13" s="7"/>
      <c r="W13" s="7"/>
      <c r="X13" s="7"/>
      <c r="Y13" s="7"/>
      <c r="Z13" s="7"/>
    </row>
    <row r="14" spans="1:26" x14ac:dyDescent="0.25">
      <c r="A14" s="16"/>
      <c r="B14" s="16"/>
      <c r="C14" s="16"/>
      <c r="D14" s="16"/>
      <c r="E14" s="16"/>
      <c r="F14" s="17"/>
      <c r="G14" s="17"/>
      <c r="H14" s="17"/>
      <c r="I14" s="17"/>
      <c r="J14" s="17"/>
      <c r="N14" s="10" t="b">
        <v>0</v>
      </c>
      <c r="O14" s="7" t="str">
        <f>IF(N14,"Felgi aluminiowe 19''","")</f>
        <v/>
      </c>
      <c r="P14" s="8" t="str">
        <f>IF(N14,5000,"")</f>
        <v/>
      </c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16"/>
      <c r="B15" s="16"/>
      <c r="C15" s="16"/>
      <c r="D15" s="16"/>
      <c r="E15" s="16"/>
      <c r="F15" s="17"/>
      <c r="G15" s="17"/>
      <c r="H15" s="17"/>
      <c r="I15" s="17"/>
      <c r="J15" s="17"/>
      <c r="N15" s="10" t="b">
        <v>0</v>
      </c>
      <c r="O15" s="7" t="str">
        <f>IF(N15,"Dach z Carbonu","")</f>
        <v/>
      </c>
      <c r="P15" s="8" t="str">
        <f>IF(N15,8500,"")</f>
        <v/>
      </c>
      <c r="Q15" s="10">
        <v>1</v>
      </c>
      <c r="R15" s="7" t="str">
        <f>VLOOKUP(Q15,Q5:R13,2)</f>
        <v>Biały</v>
      </c>
      <c r="S15" s="8">
        <f>VLOOKUP(Q15,Q5:S13,3)</f>
        <v>0</v>
      </c>
      <c r="T15" s="7"/>
      <c r="U15" s="7"/>
      <c r="V15" s="7"/>
      <c r="W15" s="7"/>
      <c r="X15" s="7"/>
      <c r="Y15" s="7"/>
      <c r="Z15" s="7"/>
    </row>
    <row r="16" spans="1:26" x14ac:dyDescent="0.25">
      <c r="A16" s="16"/>
      <c r="B16" s="16"/>
      <c r="C16" s="16"/>
      <c r="D16" s="16"/>
      <c r="E16" s="16"/>
      <c r="F16" s="17"/>
      <c r="G16" s="17"/>
      <c r="H16" s="17"/>
      <c r="I16" s="17"/>
      <c r="J16" s="17"/>
      <c r="N16" s="10" t="b">
        <v>0</v>
      </c>
      <c r="O16" s="7" t="str">
        <f>IF(N16,"Oświetlenie Xenonowe","")</f>
        <v/>
      </c>
      <c r="P16" s="8" t="str">
        <f>IF(N16,3200,"")</f>
        <v/>
      </c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16"/>
      <c r="B17" s="16"/>
      <c r="C17" s="16"/>
      <c r="D17" s="16"/>
      <c r="E17" s="16"/>
      <c r="F17" s="17"/>
      <c r="G17" s="17"/>
      <c r="H17" s="17"/>
      <c r="I17" s="17"/>
      <c r="J17" s="17"/>
      <c r="N17" s="10" t="b">
        <v>0</v>
      </c>
      <c r="O17" s="7" t="str">
        <f>IF(N17,"Klimatyzacja 4-strefowa","")</f>
        <v/>
      </c>
      <c r="P17" s="8" t="str">
        <f>IF(N17,12000,"")</f>
        <v/>
      </c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5.75" thickBot="1" x14ac:dyDescent="0.3">
      <c r="A18" s="16"/>
      <c r="B18" s="16"/>
      <c r="C18" s="16"/>
      <c r="D18" s="16"/>
      <c r="E18" s="16"/>
      <c r="F18" s="17"/>
      <c r="G18" s="17"/>
      <c r="H18" s="17"/>
      <c r="I18" s="17"/>
      <c r="J18" s="17"/>
      <c r="N18" s="10" t="b">
        <v>0</v>
      </c>
      <c r="O18" s="7" t="str">
        <f>IF(N18,"Skórzane sportowe fotele","")</f>
        <v/>
      </c>
      <c r="P18" s="8" t="str">
        <f>IF(N18,6150,"")</f>
        <v/>
      </c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5.75" thickBot="1" x14ac:dyDescent="0.3">
      <c r="A19" s="17"/>
      <c r="B19" s="17"/>
      <c r="C19" s="17"/>
      <c r="D19" s="44" t="s">
        <v>62</v>
      </c>
      <c r="E19" s="45"/>
      <c r="F19" s="45"/>
      <c r="G19" s="26">
        <f>SUM(P9,P11,P14,P15,P16,P17,P18,S15)</f>
        <v>422900</v>
      </c>
      <c r="H19" s="16"/>
      <c r="I19" s="16"/>
      <c r="J19" s="16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5.75" thickBot="1" x14ac:dyDescent="0.3">
      <c r="A20" s="17"/>
      <c r="B20" s="17"/>
      <c r="C20" s="17"/>
      <c r="D20" s="44" t="s">
        <v>65</v>
      </c>
      <c r="E20" s="45"/>
      <c r="F20" s="45"/>
      <c r="G20" s="12">
        <f>G19+N27</f>
        <v>520167</v>
      </c>
      <c r="H20" s="18"/>
      <c r="I20" s="19"/>
      <c r="J20" s="20"/>
      <c r="N20" s="7"/>
      <c r="O20" s="7"/>
      <c r="P20" s="7"/>
      <c r="Q20" s="7"/>
      <c r="R20" s="7"/>
      <c r="S20" s="7"/>
      <c r="T20" s="7" t="s">
        <v>54</v>
      </c>
      <c r="U20" s="7" t="s">
        <v>55</v>
      </c>
      <c r="V20" s="7"/>
      <c r="W20" s="7" t="s">
        <v>56</v>
      </c>
      <c r="X20" s="7"/>
      <c r="Y20" s="7"/>
      <c r="Z20" s="7"/>
    </row>
    <row r="21" spans="1:26" ht="15.75" thickBot="1" x14ac:dyDescent="0.3">
      <c r="A21" s="17"/>
      <c r="B21" s="17"/>
      <c r="C21" s="17"/>
      <c r="D21" s="46" t="s">
        <v>48</v>
      </c>
      <c r="E21" s="47"/>
      <c r="F21" s="47"/>
      <c r="G21" s="47"/>
      <c r="H21" s="18"/>
      <c r="I21" s="19"/>
      <c r="J21" s="19"/>
      <c r="N21" s="7">
        <v>1</v>
      </c>
      <c r="O21" s="7" t="s">
        <v>63</v>
      </c>
      <c r="P21" s="7" t="s">
        <v>49</v>
      </c>
      <c r="Q21" s="7"/>
      <c r="R21" s="11">
        <f>G22</f>
        <v>0.05</v>
      </c>
      <c r="S21" s="7"/>
      <c r="T21" s="8">
        <f>SUM(U29:U148)</f>
        <v>0</v>
      </c>
      <c r="U21" s="8">
        <f>R25</f>
        <v>520167</v>
      </c>
      <c r="V21" s="7"/>
      <c r="W21" s="8">
        <f>U21+T21</f>
        <v>520167</v>
      </c>
      <c r="X21" s="7"/>
      <c r="Y21" s="7"/>
      <c r="Z21" s="7"/>
    </row>
    <row r="22" spans="1:26" x14ac:dyDescent="0.25">
      <c r="A22" s="17"/>
      <c r="B22" s="17"/>
      <c r="C22" s="17"/>
      <c r="D22" s="48" t="s">
        <v>67</v>
      </c>
      <c r="E22" s="49"/>
      <c r="F22" s="50"/>
      <c r="G22" s="30">
        <v>0.05</v>
      </c>
      <c r="H22" s="19"/>
      <c r="I22" s="19"/>
      <c r="J22" s="21"/>
      <c r="N22" s="7">
        <v>2</v>
      </c>
      <c r="O22" s="7" t="s">
        <v>64</v>
      </c>
      <c r="P22" s="7" t="s">
        <v>50</v>
      </c>
      <c r="Q22" s="7"/>
      <c r="R22" s="7">
        <v>12</v>
      </c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17"/>
      <c r="B23" s="17"/>
      <c r="C23" s="17"/>
      <c r="D23" s="51" t="s">
        <v>66</v>
      </c>
      <c r="E23" s="52"/>
      <c r="F23" s="53"/>
      <c r="G23" s="29">
        <v>0</v>
      </c>
      <c r="H23" s="19"/>
      <c r="I23" s="19"/>
      <c r="J23" s="21"/>
      <c r="N23" s="7"/>
      <c r="O23" s="7"/>
      <c r="P23" s="7" t="s">
        <v>51</v>
      </c>
      <c r="Q23" s="7"/>
      <c r="R23" s="7">
        <f>R24/12</f>
        <v>0</v>
      </c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17"/>
      <c r="B24" s="17"/>
      <c r="C24" s="17"/>
      <c r="D24" s="31"/>
      <c r="E24" s="32"/>
      <c r="F24" s="33"/>
      <c r="G24" s="34"/>
      <c r="H24" s="21"/>
      <c r="I24" s="21"/>
      <c r="J24" s="21"/>
      <c r="N24" s="10">
        <v>1</v>
      </c>
      <c r="O24" s="7" t="str">
        <f>VLOOKUP(N24,N21:O22,2)</f>
        <v>Przelew</v>
      </c>
      <c r="P24" s="7" t="s">
        <v>61</v>
      </c>
      <c r="Q24" s="7"/>
      <c r="R24" s="7">
        <f>G23</f>
        <v>0</v>
      </c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17"/>
      <c r="B25" s="17"/>
      <c r="C25" s="17"/>
      <c r="D25" s="36" t="s">
        <v>68</v>
      </c>
      <c r="E25" s="37"/>
      <c r="F25" s="38"/>
      <c r="G25" s="28" t="str">
        <f>IF(AND(O24="Raty",G23&gt;0),R26,"-")</f>
        <v>-</v>
      </c>
      <c r="H25" s="19"/>
      <c r="I25" s="19"/>
      <c r="J25" s="21"/>
      <c r="N25" s="7"/>
      <c r="O25" s="7"/>
      <c r="P25" s="7" t="s">
        <v>52</v>
      </c>
      <c r="Q25" s="7"/>
      <c r="R25" s="8">
        <f>G20-G26</f>
        <v>520167</v>
      </c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17"/>
      <c r="B26" s="17"/>
      <c r="C26" s="17"/>
      <c r="D26" s="42" t="s">
        <v>69</v>
      </c>
      <c r="E26" s="43"/>
      <c r="F26" s="43"/>
      <c r="G26" s="35">
        <v>0</v>
      </c>
      <c r="H26" s="27"/>
      <c r="I26" s="19"/>
      <c r="J26" s="19"/>
      <c r="N26" s="7"/>
      <c r="O26" s="7"/>
      <c r="P26" s="7" t="s">
        <v>53</v>
      </c>
      <c r="Q26" s="7"/>
      <c r="R26" s="8" t="str">
        <f>Q29</f>
        <v/>
      </c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17"/>
      <c r="B27" s="17"/>
      <c r="C27" s="17"/>
      <c r="D27" s="39"/>
      <c r="E27" s="39"/>
      <c r="F27" s="40"/>
      <c r="G27" s="41"/>
      <c r="H27" s="21"/>
      <c r="I27" s="22"/>
      <c r="J27" s="19"/>
      <c r="N27" s="8">
        <f>G19*0.23</f>
        <v>97267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17"/>
      <c r="B28" s="17"/>
      <c r="C28" s="17"/>
      <c r="D28" s="54"/>
      <c r="E28" s="54"/>
      <c r="F28" s="55"/>
      <c r="G28" s="55"/>
      <c r="H28" s="21"/>
      <c r="I28" s="19"/>
      <c r="J28" s="19"/>
      <c r="N28" s="7"/>
      <c r="O28" s="7"/>
      <c r="P28" s="7" t="s">
        <v>57</v>
      </c>
      <c r="Q28" s="7" t="s">
        <v>58</v>
      </c>
      <c r="R28" s="7"/>
      <c r="S28" s="7" t="s">
        <v>59</v>
      </c>
      <c r="T28" s="7"/>
      <c r="U28" s="7" t="s">
        <v>54</v>
      </c>
      <c r="V28" s="7" t="s">
        <v>60</v>
      </c>
      <c r="W28" s="7"/>
      <c r="X28" s="7"/>
      <c r="Y28" s="7"/>
      <c r="Z28" s="7"/>
    </row>
    <row r="29" spans="1:26" x14ac:dyDescent="0.25">
      <c r="A29" s="17"/>
      <c r="B29" s="17"/>
      <c r="C29" s="17"/>
      <c r="D29" s="58"/>
      <c r="E29" s="58"/>
      <c r="F29" s="57"/>
      <c r="G29" s="57"/>
      <c r="H29" s="19"/>
      <c r="I29" s="19"/>
      <c r="J29" s="19"/>
      <c r="N29" s="7"/>
      <c r="O29" s="7"/>
      <c r="P29" s="7">
        <v>1</v>
      </c>
      <c r="Q29" s="8" t="str">
        <f>IFERROR(U29+V29,"")</f>
        <v/>
      </c>
      <c r="R29" s="8"/>
      <c r="S29" s="8" t="str">
        <f>Q29</f>
        <v/>
      </c>
      <c r="T29" s="8"/>
      <c r="U29" s="8" t="str">
        <f>IFERROR(IPMT($R$21/12,P29,$R$24,-$R$25),"")</f>
        <v/>
      </c>
      <c r="V29" s="8" t="str">
        <f>IFERROR(PPMT($R$21/12,P29,$R$24,-$R$25),"")</f>
        <v/>
      </c>
      <c r="W29" s="7"/>
      <c r="X29" s="7"/>
      <c r="Y29" s="7"/>
      <c r="Z29" s="7"/>
    </row>
    <row r="30" spans="1:26" hidden="1" x14ac:dyDescent="0.25">
      <c r="A30" s="17"/>
      <c r="B30" s="17"/>
      <c r="C30" s="17"/>
      <c r="D30" s="54"/>
      <c r="E30" s="54"/>
      <c r="F30" s="56"/>
      <c r="G30" s="56"/>
      <c r="H30" s="21"/>
      <c r="I30" s="23"/>
      <c r="J30" s="19"/>
      <c r="N30" s="7"/>
      <c r="O30" s="7"/>
      <c r="P30" s="7">
        <v>2</v>
      </c>
      <c r="Q30" s="8" t="str">
        <f t="shared" ref="Q30:Q93" si="0">IFERROR(U30+V30,"")</f>
        <v/>
      </c>
      <c r="R30" s="8"/>
      <c r="S30" s="8" t="str">
        <f>IFERROR(Q30+S29,"")</f>
        <v/>
      </c>
      <c r="T30" s="8"/>
      <c r="U30" s="8" t="str">
        <f t="shared" ref="U30:U93" si="1">IFERROR(IPMT($R$21/12,P30,$R$24,-$R$25),"")</f>
        <v/>
      </c>
      <c r="V30" s="8" t="str">
        <f t="shared" ref="V30:V93" si="2">IFERROR(PPMT($R$21/12,P30,$R$24,-$R$25),"")</f>
        <v/>
      </c>
      <c r="W30" s="7"/>
      <c r="X30" s="7"/>
      <c r="Y30" s="7"/>
      <c r="Z30" s="7"/>
    </row>
    <row r="31" spans="1:26" hidden="1" x14ac:dyDescent="0.25">
      <c r="A31" s="17"/>
      <c r="B31" s="17"/>
      <c r="C31" s="17"/>
      <c r="D31" s="54"/>
      <c r="E31" s="54"/>
      <c r="F31" s="56"/>
      <c r="G31" s="56"/>
      <c r="H31" s="21"/>
      <c r="I31" s="23"/>
      <c r="J31" s="23"/>
      <c r="N31" s="7"/>
      <c r="O31" s="7"/>
      <c r="P31" s="7">
        <v>3</v>
      </c>
      <c r="Q31" s="8" t="str">
        <f t="shared" si="0"/>
        <v/>
      </c>
      <c r="R31" s="8"/>
      <c r="S31" s="8" t="str">
        <f>IFERROR(Q31+S30,"")</f>
        <v/>
      </c>
      <c r="T31" s="8"/>
      <c r="U31" s="8" t="str">
        <f t="shared" si="1"/>
        <v/>
      </c>
      <c r="V31" s="8" t="str">
        <f t="shared" si="2"/>
        <v/>
      </c>
      <c r="W31" s="7"/>
      <c r="X31" s="7"/>
      <c r="Y31" s="7"/>
      <c r="Z31" s="7"/>
    </row>
    <row r="32" spans="1:26" hidden="1" x14ac:dyDescent="0.25">
      <c r="A32" s="17"/>
      <c r="B32" s="17"/>
      <c r="C32" s="17"/>
      <c r="D32" s="17"/>
      <c r="E32" s="17"/>
      <c r="F32" s="16"/>
      <c r="G32" s="16"/>
      <c r="H32" s="16"/>
      <c r="I32" s="16"/>
      <c r="J32" s="16"/>
      <c r="N32" s="7"/>
      <c r="O32" s="7"/>
      <c r="P32" s="7">
        <v>4</v>
      </c>
      <c r="Q32" s="8" t="str">
        <f t="shared" si="0"/>
        <v/>
      </c>
      <c r="R32" s="8"/>
      <c r="S32" s="8" t="str">
        <f>IFERROR(Q32+S31,"")</f>
        <v/>
      </c>
      <c r="T32" s="8"/>
      <c r="U32" s="8" t="str">
        <f t="shared" si="1"/>
        <v/>
      </c>
      <c r="V32" s="8" t="str">
        <f t="shared" si="2"/>
        <v/>
      </c>
      <c r="W32" s="7"/>
      <c r="X32" s="7"/>
      <c r="Y32" s="7"/>
      <c r="Z32" s="7"/>
    </row>
    <row r="33" spans="1:26" hidden="1" x14ac:dyDescent="0.25">
      <c r="A33" s="17"/>
      <c r="B33" s="17"/>
      <c r="C33" s="17"/>
      <c r="D33" s="17"/>
      <c r="E33" s="17"/>
      <c r="F33" s="16"/>
      <c r="G33" s="16"/>
      <c r="H33" s="16"/>
      <c r="I33" s="16"/>
      <c r="J33" s="16"/>
      <c r="N33" s="7"/>
      <c r="O33" s="7"/>
      <c r="P33" s="7">
        <v>5</v>
      </c>
      <c r="Q33" s="8" t="str">
        <f t="shared" si="0"/>
        <v/>
      </c>
      <c r="R33" s="8"/>
      <c r="S33" s="8" t="str">
        <f t="shared" ref="S33:S94" si="3">IFERROR(Q33+S32,"")</f>
        <v/>
      </c>
      <c r="T33" s="8"/>
      <c r="U33" s="8" t="str">
        <f t="shared" si="1"/>
        <v/>
      </c>
      <c r="V33" s="8" t="str">
        <f t="shared" si="2"/>
        <v/>
      </c>
      <c r="W33" s="7"/>
      <c r="X33" s="7"/>
      <c r="Y33" s="7"/>
      <c r="Z33" s="7"/>
    </row>
    <row r="34" spans="1:26" hidden="1" x14ac:dyDescent="0.25">
      <c r="N34" s="7"/>
      <c r="O34" s="7"/>
      <c r="P34" s="7">
        <v>6</v>
      </c>
      <c r="Q34" s="8" t="str">
        <f t="shared" si="0"/>
        <v/>
      </c>
      <c r="R34" s="8"/>
      <c r="S34" s="8" t="str">
        <f t="shared" si="3"/>
        <v/>
      </c>
      <c r="T34" s="8"/>
      <c r="U34" s="8" t="str">
        <f t="shared" si="1"/>
        <v/>
      </c>
      <c r="V34" s="8" t="str">
        <f t="shared" si="2"/>
        <v/>
      </c>
      <c r="W34" s="7"/>
      <c r="X34" s="7"/>
      <c r="Y34" s="7"/>
      <c r="Z34" s="7"/>
    </row>
    <row r="35" spans="1:26" hidden="1" x14ac:dyDescent="0.25">
      <c r="N35" s="7"/>
      <c r="O35" s="7"/>
      <c r="P35" s="7">
        <v>7</v>
      </c>
      <c r="Q35" s="8" t="str">
        <f t="shared" si="0"/>
        <v/>
      </c>
      <c r="R35" s="8"/>
      <c r="S35" s="8" t="str">
        <f t="shared" si="3"/>
        <v/>
      </c>
      <c r="T35" s="8"/>
      <c r="U35" s="8" t="str">
        <f t="shared" si="1"/>
        <v/>
      </c>
      <c r="V35" s="8" t="str">
        <f t="shared" si="2"/>
        <v/>
      </c>
      <c r="W35" s="7"/>
      <c r="X35" s="7"/>
      <c r="Y35" s="7"/>
      <c r="Z35" s="7"/>
    </row>
    <row r="36" spans="1:26" hidden="1" x14ac:dyDescent="0.25">
      <c r="N36" s="7"/>
      <c r="O36" s="7"/>
      <c r="P36" s="7">
        <v>8</v>
      </c>
      <c r="Q36" s="8" t="str">
        <f t="shared" si="0"/>
        <v/>
      </c>
      <c r="R36" s="8"/>
      <c r="S36" s="8" t="str">
        <f t="shared" si="3"/>
        <v/>
      </c>
      <c r="T36" s="8"/>
      <c r="U36" s="8" t="str">
        <f t="shared" si="1"/>
        <v/>
      </c>
      <c r="V36" s="8" t="str">
        <f t="shared" si="2"/>
        <v/>
      </c>
      <c r="W36" s="7"/>
      <c r="X36" s="7"/>
      <c r="Y36" s="7"/>
      <c r="Z36" s="7"/>
    </row>
    <row r="37" spans="1:26" hidden="1" x14ac:dyDescent="0.25">
      <c r="N37" s="7"/>
      <c r="O37" s="7"/>
      <c r="P37" s="7">
        <v>9</v>
      </c>
      <c r="Q37" s="8" t="str">
        <f t="shared" si="0"/>
        <v/>
      </c>
      <c r="R37" s="8"/>
      <c r="S37" s="8" t="str">
        <f t="shared" si="3"/>
        <v/>
      </c>
      <c r="T37" s="8"/>
      <c r="U37" s="8" t="str">
        <f t="shared" si="1"/>
        <v/>
      </c>
      <c r="V37" s="8" t="str">
        <f t="shared" si="2"/>
        <v/>
      </c>
      <c r="W37" s="7"/>
      <c r="X37" s="7"/>
      <c r="Y37" s="7"/>
      <c r="Z37" s="7"/>
    </row>
    <row r="38" spans="1:26" hidden="1" x14ac:dyDescent="0.25">
      <c r="N38" s="7"/>
      <c r="O38" s="7"/>
      <c r="P38" s="7">
        <v>10</v>
      </c>
      <c r="Q38" s="8" t="str">
        <f t="shared" si="0"/>
        <v/>
      </c>
      <c r="R38" s="8"/>
      <c r="S38" s="8" t="str">
        <f t="shared" si="3"/>
        <v/>
      </c>
      <c r="T38" s="8"/>
      <c r="U38" s="8" t="str">
        <f t="shared" si="1"/>
        <v/>
      </c>
      <c r="V38" s="8" t="str">
        <f t="shared" si="2"/>
        <v/>
      </c>
      <c r="W38" s="7"/>
      <c r="X38" s="7"/>
      <c r="Y38" s="7"/>
      <c r="Z38" s="7"/>
    </row>
    <row r="39" spans="1:26" hidden="1" x14ac:dyDescent="0.25">
      <c r="N39" s="7"/>
      <c r="O39" s="7"/>
      <c r="P39" s="7">
        <v>11</v>
      </c>
      <c r="Q39" s="8" t="str">
        <f t="shared" si="0"/>
        <v/>
      </c>
      <c r="R39" s="8"/>
      <c r="S39" s="8" t="str">
        <f t="shared" si="3"/>
        <v/>
      </c>
      <c r="T39" s="8"/>
      <c r="U39" s="8" t="str">
        <f t="shared" si="1"/>
        <v/>
      </c>
      <c r="V39" s="8" t="str">
        <f t="shared" si="2"/>
        <v/>
      </c>
      <c r="W39" s="7"/>
      <c r="X39" s="7"/>
      <c r="Y39" s="7"/>
      <c r="Z39" s="7"/>
    </row>
    <row r="40" spans="1:26" hidden="1" x14ac:dyDescent="0.25">
      <c r="N40" s="7"/>
      <c r="O40" s="7"/>
      <c r="P40" s="7">
        <v>12</v>
      </c>
      <c r="Q40" s="8" t="str">
        <f t="shared" si="0"/>
        <v/>
      </c>
      <c r="R40" s="8"/>
      <c r="S40" s="8" t="str">
        <f t="shared" si="3"/>
        <v/>
      </c>
      <c r="T40" s="8"/>
      <c r="U40" s="8" t="str">
        <f t="shared" si="1"/>
        <v/>
      </c>
      <c r="V40" s="8" t="str">
        <f t="shared" si="2"/>
        <v/>
      </c>
      <c r="W40" s="7"/>
      <c r="X40" s="7"/>
      <c r="Y40" s="7"/>
      <c r="Z40" s="7"/>
    </row>
    <row r="41" spans="1:26" hidden="1" x14ac:dyDescent="0.25">
      <c r="N41" s="7"/>
      <c r="O41" s="7"/>
      <c r="P41" s="7">
        <v>13</v>
      </c>
      <c r="Q41" s="8" t="str">
        <f t="shared" si="0"/>
        <v/>
      </c>
      <c r="R41" s="8"/>
      <c r="S41" s="8" t="str">
        <f t="shared" si="3"/>
        <v/>
      </c>
      <c r="T41" s="8"/>
      <c r="U41" s="8" t="str">
        <f t="shared" si="1"/>
        <v/>
      </c>
      <c r="V41" s="8" t="str">
        <f t="shared" si="2"/>
        <v/>
      </c>
      <c r="W41" s="7"/>
      <c r="X41" s="7"/>
      <c r="Y41" s="7"/>
      <c r="Z41" s="7"/>
    </row>
    <row r="42" spans="1:26" hidden="1" x14ac:dyDescent="0.25">
      <c r="N42" s="7"/>
      <c r="O42" s="7"/>
      <c r="P42" s="7">
        <v>14</v>
      </c>
      <c r="Q42" s="8" t="str">
        <f t="shared" si="0"/>
        <v/>
      </c>
      <c r="R42" s="8"/>
      <c r="S42" s="8" t="str">
        <f t="shared" si="3"/>
        <v/>
      </c>
      <c r="T42" s="8"/>
      <c r="U42" s="8" t="str">
        <f t="shared" si="1"/>
        <v/>
      </c>
      <c r="V42" s="8" t="str">
        <f t="shared" si="2"/>
        <v/>
      </c>
      <c r="W42" s="7"/>
      <c r="X42" s="7"/>
      <c r="Y42" s="7"/>
      <c r="Z42" s="7"/>
    </row>
    <row r="43" spans="1:26" hidden="1" x14ac:dyDescent="0.25">
      <c r="N43" s="7"/>
      <c r="O43" s="7"/>
      <c r="P43" s="7">
        <v>15</v>
      </c>
      <c r="Q43" s="8" t="str">
        <f t="shared" si="0"/>
        <v/>
      </c>
      <c r="R43" s="8"/>
      <c r="S43" s="8" t="str">
        <f t="shared" si="3"/>
        <v/>
      </c>
      <c r="T43" s="8"/>
      <c r="U43" s="8" t="str">
        <f t="shared" si="1"/>
        <v/>
      </c>
      <c r="V43" s="8" t="str">
        <f t="shared" si="2"/>
        <v/>
      </c>
      <c r="W43" s="7"/>
      <c r="X43" s="7"/>
      <c r="Y43" s="7"/>
      <c r="Z43" s="7"/>
    </row>
    <row r="44" spans="1:26" hidden="1" x14ac:dyDescent="0.25">
      <c r="N44" s="7"/>
      <c r="O44" s="7"/>
      <c r="P44" s="7">
        <v>16</v>
      </c>
      <c r="Q44" s="8" t="str">
        <f t="shared" si="0"/>
        <v/>
      </c>
      <c r="R44" s="8"/>
      <c r="S44" s="8" t="str">
        <f t="shared" si="3"/>
        <v/>
      </c>
      <c r="T44" s="8"/>
      <c r="U44" s="8" t="str">
        <f t="shared" si="1"/>
        <v/>
      </c>
      <c r="V44" s="8" t="str">
        <f t="shared" si="2"/>
        <v/>
      </c>
      <c r="W44" s="7"/>
      <c r="X44" s="7"/>
      <c r="Y44" s="7"/>
      <c r="Z44" s="7"/>
    </row>
    <row r="45" spans="1:26" hidden="1" x14ac:dyDescent="0.25">
      <c r="N45" s="7"/>
      <c r="O45" s="7"/>
      <c r="P45" s="7">
        <v>17</v>
      </c>
      <c r="Q45" s="8" t="str">
        <f t="shared" si="0"/>
        <v/>
      </c>
      <c r="R45" s="8"/>
      <c r="S45" s="8" t="str">
        <f t="shared" si="3"/>
        <v/>
      </c>
      <c r="T45" s="8"/>
      <c r="U45" s="8" t="str">
        <f t="shared" si="1"/>
        <v/>
      </c>
      <c r="V45" s="8" t="str">
        <f t="shared" si="2"/>
        <v/>
      </c>
      <c r="W45" s="7"/>
      <c r="X45" s="7"/>
      <c r="Y45" s="7"/>
      <c r="Z45" s="7"/>
    </row>
    <row r="46" spans="1:26" hidden="1" x14ac:dyDescent="0.25">
      <c r="N46" s="7"/>
      <c r="O46" s="7"/>
      <c r="P46" s="7">
        <v>18</v>
      </c>
      <c r="Q46" s="8" t="str">
        <f t="shared" si="0"/>
        <v/>
      </c>
      <c r="R46" s="8"/>
      <c r="S46" s="8" t="str">
        <f t="shared" si="3"/>
        <v/>
      </c>
      <c r="T46" s="8"/>
      <c r="U46" s="8" t="str">
        <f t="shared" si="1"/>
        <v/>
      </c>
      <c r="V46" s="8" t="str">
        <f t="shared" si="2"/>
        <v/>
      </c>
      <c r="W46" s="7"/>
      <c r="X46" s="7"/>
      <c r="Y46" s="7"/>
      <c r="Z46" s="7"/>
    </row>
    <row r="47" spans="1:26" hidden="1" x14ac:dyDescent="0.25">
      <c r="N47" s="7"/>
      <c r="O47" s="7"/>
      <c r="P47" s="7">
        <v>19</v>
      </c>
      <c r="Q47" s="8" t="str">
        <f t="shared" si="0"/>
        <v/>
      </c>
      <c r="R47" s="8"/>
      <c r="S47" s="8" t="str">
        <f t="shared" si="3"/>
        <v/>
      </c>
      <c r="T47" s="8"/>
      <c r="U47" s="8" t="str">
        <f t="shared" si="1"/>
        <v/>
      </c>
      <c r="V47" s="8" t="str">
        <f t="shared" si="2"/>
        <v/>
      </c>
      <c r="W47" s="7"/>
      <c r="X47" s="7"/>
      <c r="Y47" s="7"/>
      <c r="Z47" s="7"/>
    </row>
    <row r="48" spans="1:26" hidden="1" x14ac:dyDescent="0.25">
      <c r="N48" s="7"/>
      <c r="O48" s="7"/>
      <c r="P48" s="7">
        <v>20</v>
      </c>
      <c r="Q48" s="8" t="str">
        <f t="shared" si="0"/>
        <v/>
      </c>
      <c r="R48" s="8"/>
      <c r="S48" s="8" t="str">
        <f t="shared" si="3"/>
        <v/>
      </c>
      <c r="T48" s="8"/>
      <c r="U48" s="8" t="str">
        <f t="shared" si="1"/>
        <v/>
      </c>
      <c r="V48" s="8" t="str">
        <f t="shared" si="2"/>
        <v/>
      </c>
      <c r="W48" s="7"/>
      <c r="X48" s="7"/>
      <c r="Y48" s="7"/>
      <c r="Z48" s="7"/>
    </row>
    <row r="49" spans="14:26" hidden="1" x14ac:dyDescent="0.25">
      <c r="N49" s="7"/>
      <c r="O49" s="7"/>
      <c r="P49" s="7">
        <v>21</v>
      </c>
      <c r="Q49" s="8" t="str">
        <f t="shared" si="0"/>
        <v/>
      </c>
      <c r="R49" s="8"/>
      <c r="S49" s="8" t="str">
        <f t="shared" si="3"/>
        <v/>
      </c>
      <c r="T49" s="8"/>
      <c r="U49" s="8" t="str">
        <f t="shared" si="1"/>
        <v/>
      </c>
      <c r="V49" s="8" t="str">
        <f t="shared" si="2"/>
        <v/>
      </c>
      <c r="W49" s="7"/>
      <c r="X49" s="7"/>
      <c r="Y49" s="7"/>
      <c r="Z49" s="7"/>
    </row>
    <row r="50" spans="14:26" hidden="1" x14ac:dyDescent="0.25">
      <c r="N50" s="7"/>
      <c r="O50" s="7"/>
      <c r="P50" s="7">
        <v>22</v>
      </c>
      <c r="Q50" s="8" t="str">
        <f t="shared" si="0"/>
        <v/>
      </c>
      <c r="R50" s="8"/>
      <c r="S50" s="8" t="str">
        <f t="shared" si="3"/>
        <v/>
      </c>
      <c r="T50" s="8"/>
      <c r="U50" s="8" t="str">
        <f t="shared" si="1"/>
        <v/>
      </c>
      <c r="V50" s="8" t="str">
        <f t="shared" si="2"/>
        <v/>
      </c>
      <c r="W50" s="7"/>
      <c r="X50" s="7"/>
      <c r="Y50" s="7"/>
      <c r="Z50" s="7"/>
    </row>
    <row r="51" spans="14:26" hidden="1" x14ac:dyDescent="0.25">
      <c r="N51" s="7"/>
      <c r="O51" s="7"/>
      <c r="P51" s="7">
        <v>23</v>
      </c>
      <c r="Q51" s="8" t="str">
        <f t="shared" si="0"/>
        <v/>
      </c>
      <c r="R51" s="8"/>
      <c r="S51" s="8" t="str">
        <f t="shared" si="3"/>
        <v/>
      </c>
      <c r="T51" s="8"/>
      <c r="U51" s="8" t="str">
        <f t="shared" si="1"/>
        <v/>
      </c>
      <c r="V51" s="8" t="str">
        <f t="shared" si="2"/>
        <v/>
      </c>
      <c r="W51" s="7"/>
      <c r="X51" s="7"/>
      <c r="Y51" s="7"/>
      <c r="Z51" s="7"/>
    </row>
    <row r="52" spans="14:26" hidden="1" x14ac:dyDescent="0.25">
      <c r="N52" s="7"/>
      <c r="O52" s="7"/>
      <c r="P52" s="7">
        <v>24</v>
      </c>
      <c r="Q52" s="8" t="str">
        <f t="shared" si="0"/>
        <v/>
      </c>
      <c r="R52" s="8"/>
      <c r="S52" s="8" t="str">
        <f t="shared" si="3"/>
        <v/>
      </c>
      <c r="T52" s="8"/>
      <c r="U52" s="8" t="str">
        <f t="shared" si="1"/>
        <v/>
      </c>
      <c r="V52" s="8" t="str">
        <f t="shared" si="2"/>
        <v/>
      </c>
      <c r="W52" s="7"/>
      <c r="X52" s="7"/>
      <c r="Y52" s="7"/>
      <c r="Z52" s="7"/>
    </row>
    <row r="53" spans="14:26" hidden="1" x14ac:dyDescent="0.25">
      <c r="N53" s="7"/>
      <c r="O53" s="7"/>
      <c r="P53" s="7">
        <v>25</v>
      </c>
      <c r="Q53" s="8" t="str">
        <f t="shared" si="0"/>
        <v/>
      </c>
      <c r="R53" s="8"/>
      <c r="S53" s="8" t="str">
        <f t="shared" si="3"/>
        <v/>
      </c>
      <c r="T53" s="8"/>
      <c r="U53" s="8" t="str">
        <f t="shared" si="1"/>
        <v/>
      </c>
      <c r="V53" s="8" t="str">
        <f t="shared" si="2"/>
        <v/>
      </c>
      <c r="W53" s="7"/>
      <c r="X53" s="7"/>
      <c r="Y53" s="7"/>
      <c r="Z53" s="7"/>
    </row>
    <row r="54" spans="14:26" hidden="1" x14ac:dyDescent="0.25">
      <c r="N54" s="7"/>
      <c r="O54" s="7"/>
      <c r="P54" s="7">
        <v>26</v>
      </c>
      <c r="Q54" s="8" t="str">
        <f t="shared" si="0"/>
        <v/>
      </c>
      <c r="R54" s="8"/>
      <c r="S54" s="8" t="str">
        <f t="shared" si="3"/>
        <v/>
      </c>
      <c r="T54" s="8"/>
      <c r="U54" s="8" t="str">
        <f t="shared" si="1"/>
        <v/>
      </c>
      <c r="V54" s="8" t="str">
        <f t="shared" si="2"/>
        <v/>
      </c>
      <c r="W54" s="7"/>
      <c r="X54" s="7"/>
      <c r="Y54" s="7"/>
      <c r="Z54" s="7"/>
    </row>
    <row r="55" spans="14:26" hidden="1" x14ac:dyDescent="0.25">
      <c r="N55" s="7"/>
      <c r="O55" s="7"/>
      <c r="P55" s="7">
        <v>27</v>
      </c>
      <c r="Q55" s="8" t="str">
        <f t="shared" si="0"/>
        <v/>
      </c>
      <c r="R55" s="8"/>
      <c r="S55" s="8" t="str">
        <f t="shared" si="3"/>
        <v/>
      </c>
      <c r="T55" s="8"/>
      <c r="U55" s="8" t="str">
        <f t="shared" si="1"/>
        <v/>
      </c>
      <c r="V55" s="8" t="str">
        <f t="shared" si="2"/>
        <v/>
      </c>
      <c r="W55" s="7"/>
      <c r="X55" s="7"/>
      <c r="Y55" s="7"/>
      <c r="Z55" s="7"/>
    </row>
    <row r="56" spans="14:26" hidden="1" x14ac:dyDescent="0.25">
      <c r="N56" s="7"/>
      <c r="O56" s="7"/>
      <c r="P56" s="7">
        <v>28</v>
      </c>
      <c r="Q56" s="8" t="str">
        <f t="shared" si="0"/>
        <v/>
      </c>
      <c r="R56" s="8"/>
      <c r="S56" s="8" t="str">
        <f t="shared" si="3"/>
        <v/>
      </c>
      <c r="T56" s="8"/>
      <c r="U56" s="8" t="str">
        <f t="shared" si="1"/>
        <v/>
      </c>
      <c r="V56" s="8" t="str">
        <f t="shared" si="2"/>
        <v/>
      </c>
      <c r="W56" s="7"/>
      <c r="X56" s="7"/>
      <c r="Y56" s="7"/>
      <c r="Z56" s="7"/>
    </row>
    <row r="57" spans="14:26" hidden="1" x14ac:dyDescent="0.25">
      <c r="N57" s="7"/>
      <c r="O57" s="7"/>
      <c r="P57" s="7">
        <v>29</v>
      </c>
      <c r="Q57" s="8" t="str">
        <f t="shared" si="0"/>
        <v/>
      </c>
      <c r="R57" s="8"/>
      <c r="S57" s="8" t="str">
        <f t="shared" si="3"/>
        <v/>
      </c>
      <c r="T57" s="8"/>
      <c r="U57" s="8" t="str">
        <f t="shared" si="1"/>
        <v/>
      </c>
      <c r="V57" s="8" t="str">
        <f t="shared" si="2"/>
        <v/>
      </c>
      <c r="W57" s="7"/>
      <c r="X57" s="7"/>
      <c r="Y57" s="7"/>
      <c r="Z57" s="7"/>
    </row>
    <row r="58" spans="14:26" hidden="1" x14ac:dyDescent="0.25">
      <c r="N58" s="7"/>
      <c r="O58" s="7"/>
      <c r="P58" s="7">
        <v>30</v>
      </c>
      <c r="Q58" s="8" t="str">
        <f t="shared" si="0"/>
        <v/>
      </c>
      <c r="R58" s="8"/>
      <c r="S58" s="8" t="str">
        <f t="shared" si="3"/>
        <v/>
      </c>
      <c r="T58" s="8"/>
      <c r="U58" s="8" t="str">
        <f t="shared" si="1"/>
        <v/>
      </c>
      <c r="V58" s="8" t="str">
        <f t="shared" si="2"/>
        <v/>
      </c>
      <c r="W58" s="7"/>
      <c r="X58" s="7"/>
      <c r="Y58" s="7"/>
      <c r="Z58" s="7"/>
    </row>
    <row r="59" spans="14:26" hidden="1" x14ac:dyDescent="0.25">
      <c r="N59" s="7"/>
      <c r="O59" s="7"/>
      <c r="P59" s="7">
        <v>31</v>
      </c>
      <c r="Q59" s="8" t="str">
        <f t="shared" si="0"/>
        <v/>
      </c>
      <c r="R59" s="8"/>
      <c r="S59" s="8" t="str">
        <f t="shared" si="3"/>
        <v/>
      </c>
      <c r="T59" s="8"/>
      <c r="U59" s="8" t="str">
        <f t="shared" si="1"/>
        <v/>
      </c>
      <c r="V59" s="8" t="str">
        <f t="shared" si="2"/>
        <v/>
      </c>
      <c r="W59" s="7"/>
      <c r="X59" s="7"/>
      <c r="Y59" s="7"/>
      <c r="Z59" s="7"/>
    </row>
    <row r="60" spans="14:26" hidden="1" x14ac:dyDescent="0.25">
      <c r="N60" s="7"/>
      <c r="O60" s="7"/>
      <c r="P60" s="7">
        <v>32</v>
      </c>
      <c r="Q60" s="8" t="str">
        <f t="shared" si="0"/>
        <v/>
      </c>
      <c r="R60" s="8"/>
      <c r="S60" s="8" t="str">
        <f t="shared" si="3"/>
        <v/>
      </c>
      <c r="T60" s="8"/>
      <c r="U60" s="8" t="str">
        <f t="shared" si="1"/>
        <v/>
      </c>
      <c r="V60" s="8" t="str">
        <f t="shared" si="2"/>
        <v/>
      </c>
      <c r="W60" s="7"/>
      <c r="X60" s="7"/>
      <c r="Y60" s="7"/>
      <c r="Z60" s="7"/>
    </row>
    <row r="61" spans="14:26" hidden="1" x14ac:dyDescent="0.25">
      <c r="N61" s="7"/>
      <c r="O61" s="7"/>
      <c r="P61" s="7">
        <v>33</v>
      </c>
      <c r="Q61" s="8" t="str">
        <f t="shared" si="0"/>
        <v/>
      </c>
      <c r="R61" s="8"/>
      <c r="S61" s="8" t="str">
        <f t="shared" si="3"/>
        <v/>
      </c>
      <c r="T61" s="8"/>
      <c r="U61" s="8" t="str">
        <f t="shared" si="1"/>
        <v/>
      </c>
      <c r="V61" s="8" t="str">
        <f t="shared" si="2"/>
        <v/>
      </c>
      <c r="W61" s="7"/>
      <c r="X61" s="7"/>
      <c r="Y61" s="7"/>
      <c r="Z61" s="7"/>
    </row>
    <row r="62" spans="14:26" hidden="1" x14ac:dyDescent="0.25">
      <c r="N62" s="7"/>
      <c r="O62" s="7"/>
      <c r="P62" s="7">
        <v>34</v>
      </c>
      <c r="Q62" s="8" t="str">
        <f t="shared" si="0"/>
        <v/>
      </c>
      <c r="R62" s="8"/>
      <c r="S62" s="8" t="str">
        <f t="shared" si="3"/>
        <v/>
      </c>
      <c r="T62" s="8"/>
      <c r="U62" s="8" t="str">
        <f t="shared" si="1"/>
        <v/>
      </c>
      <c r="V62" s="8" t="str">
        <f t="shared" si="2"/>
        <v/>
      </c>
      <c r="W62" s="7"/>
      <c r="X62" s="7"/>
      <c r="Y62" s="7"/>
      <c r="Z62" s="7"/>
    </row>
    <row r="63" spans="14:26" hidden="1" x14ac:dyDescent="0.25">
      <c r="N63" s="7"/>
      <c r="O63" s="7"/>
      <c r="P63" s="7">
        <v>35</v>
      </c>
      <c r="Q63" s="8" t="str">
        <f t="shared" si="0"/>
        <v/>
      </c>
      <c r="R63" s="8"/>
      <c r="S63" s="8" t="str">
        <f t="shared" si="3"/>
        <v/>
      </c>
      <c r="T63" s="8"/>
      <c r="U63" s="8" t="str">
        <f t="shared" si="1"/>
        <v/>
      </c>
      <c r="V63" s="8" t="str">
        <f t="shared" si="2"/>
        <v/>
      </c>
      <c r="W63" s="7"/>
      <c r="X63" s="7"/>
      <c r="Y63" s="7"/>
      <c r="Z63" s="7"/>
    </row>
    <row r="64" spans="14:26" hidden="1" x14ac:dyDescent="0.25">
      <c r="N64" s="7"/>
      <c r="O64" s="7"/>
      <c r="P64" s="7">
        <v>36</v>
      </c>
      <c r="Q64" s="8" t="str">
        <f t="shared" si="0"/>
        <v/>
      </c>
      <c r="R64" s="8"/>
      <c r="S64" s="8" t="str">
        <f t="shared" si="3"/>
        <v/>
      </c>
      <c r="T64" s="8"/>
      <c r="U64" s="8" t="str">
        <f t="shared" si="1"/>
        <v/>
      </c>
      <c r="V64" s="8" t="str">
        <f t="shared" si="2"/>
        <v/>
      </c>
      <c r="W64" s="7"/>
      <c r="X64" s="7"/>
      <c r="Y64" s="7"/>
      <c r="Z64" s="7"/>
    </row>
    <row r="65" spans="14:26" hidden="1" x14ac:dyDescent="0.25">
      <c r="N65" s="7"/>
      <c r="O65" s="7"/>
      <c r="P65" s="7">
        <v>37</v>
      </c>
      <c r="Q65" s="8" t="str">
        <f t="shared" si="0"/>
        <v/>
      </c>
      <c r="R65" s="8"/>
      <c r="S65" s="8" t="str">
        <f t="shared" si="3"/>
        <v/>
      </c>
      <c r="T65" s="8"/>
      <c r="U65" s="8" t="str">
        <f t="shared" si="1"/>
        <v/>
      </c>
      <c r="V65" s="8" t="str">
        <f t="shared" si="2"/>
        <v/>
      </c>
      <c r="W65" s="7"/>
      <c r="X65" s="7"/>
      <c r="Y65" s="7"/>
      <c r="Z65" s="7"/>
    </row>
    <row r="66" spans="14:26" hidden="1" x14ac:dyDescent="0.25">
      <c r="N66" s="7"/>
      <c r="O66" s="7"/>
      <c r="P66" s="7">
        <v>38</v>
      </c>
      <c r="Q66" s="8" t="str">
        <f t="shared" si="0"/>
        <v/>
      </c>
      <c r="R66" s="8"/>
      <c r="S66" s="8" t="str">
        <f t="shared" si="3"/>
        <v/>
      </c>
      <c r="T66" s="8"/>
      <c r="U66" s="8" t="str">
        <f t="shared" si="1"/>
        <v/>
      </c>
      <c r="V66" s="8" t="str">
        <f t="shared" si="2"/>
        <v/>
      </c>
      <c r="W66" s="7"/>
      <c r="X66" s="7"/>
      <c r="Y66" s="7"/>
      <c r="Z66" s="7"/>
    </row>
    <row r="67" spans="14:26" hidden="1" x14ac:dyDescent="0.25">
      <c r="N67" s="7"/>
      <c r="O67" s="7"/>
      <c r="P67" s="7">
        <v>39</v>
      </c>
      <c r="Q67" s="8" t="str">
        <f t="shared" si="0"/>
        <v/>
      </c>
      <c r="R67" s="8"/>
      <c r="S67" s="8" t="str">
        <f t="shared" si="3"/>
        <v/>
      </c>
      <c r="T67" s="8"/>
      <c r="U67" s="8" t="str">
        <f t="shared" si="1"/>
        <v/>
      </c>
      <c r="V67" s="8" t="str">
        <f t="shared" si="2"/>
        <v/>
      </c>
      <c r="W67" s="7"/>
      <c r="X67" s="7"/>
      <c r="Y67" s="7"/>
      <c r="Z67" s="7"/>
    </row>
    <row r="68" spans="14:26" hidden="1" x14ac:dyDescent="0.25">
      <c r="N68" s="7"/>
      <c r="O68" s="7"/>
      <c r="P68" s="7">
        <v>40</v>
      </c>
      <c r="Q68" s="8" t="str">
        <f t="shared" si="0"/>
        <v/>
      </c>
      <c r="R68" s="8"/>
      <c r="S68" s="8" t="str">
        <f t="shared" si="3"/>
        <v/>
      </c>
      <c r="T68" s="8"/>
      <c r="U68" s="8" t="str">
        <f t="shared" si="1"/>
        <v/>
      </c>
      <c r="V68" s="8" t="str">
        <f t="shared" si="2"/>
        <v/>
      </c>
      <c r="W68" s="7"/>
      <c r="X68" s="7"/>
      <c r="Y68" s="7"/>
      <c r="Z68" s="7"/>
    </row>
    <row r="69" spans="14:26" hidden="1" x14ac:dyDescent="0.25">
      <c r="N69" s="7"/>
      <c r="O69" s="7"/>
      <c r="P69" s="7">
        <v>41</v>
      </c>
      <c r="Q69" s="8" t="str">
        <f t="shared" si="0"/>
        <v/>
      </c>
      <c r="R69" s="8"/>
      <c r="S69" s="8" t="str">
        <f t="shared" si="3"/>
        <v/>
      </c>
      <c r="T69" s="8"/>
      <c r="U69" s="8" t="str">
        <f t="shared" si="1"/>
        <v/>
      </c>
      <c r="V69" s="8" t="str">
        <f t="shared" si="2"/>
        <v/>
      </c>
      <c r="W69" s="7"/>
      <c r="X69" s="7"/>
      <c r="Y69" s="7"/>
      <c r="Z69" s="7"/>
    </row>
    <row r="70" spans="14:26" hidden="1" x14ac:dyDescent="0.25">
      <c r="N70" s="7"/>
      <c r="O70" s="7"/>
      <c r="P70" s="7">
        <v>42</v>
      </c>
      <c r="Q70" s="8" t="str">
        <f t="shared" si="0"/>
        <v/>
      </c>
      <c r="R70" s="8"/>
      <c r="S70" s="8" t="str">
        <f t="shared" si="3"/>
        <v/>
      </c>
      <c r="T70" s="8"/>
      <c r="U70" s="8" t="str">
        <f t="shared" si="1"/>
        <v/>
      </c>
      <c r="V70" s="8" t="str">
        <f t="shared" si="2"/>
        <v/>
      </c>
      <c r="W70" s="7"/>
      <c r="X70" s="7"/>
      <c r="Y70" s="7"/>
      <c r="Z70" s="7"/>
    </row>
    <row r="71" spans="14:26" hidden="1" x14ac:dyDescent="0.25">
      <c r="N71" s="7"/>
      <c r="O71" s="7"/>
      <c r="P71" s="7">
        <v>43</v>
      </c>
      <c r="Q71" s="8" t="str">
        <f t="shared" si="0"/>
        <v/>
      </c>
      <c r="R71" s="8"/>
      <c r="S71" s="8" t="str">
        <f t="shared" si="3"/>
        <v/>
      </c>
      <c r="T71" s="8"/>
      <c r="U71" s="8" t="str">
        <f t="shared" si="1"/>
        <v/>
      </c>
      <c r="V71" s="8" t="str">
        <f t="shared" si="2"/>
        <v/>
      </c>
      <c r="W71" s="7"/>
      <c r="X71" s="7"/>
      <c r="Y71" s="7"/>
      <c r="Z71" s="7"/>
    </row>
    <row r="72" spans="14:26" hidden="1" x14ac:dyDescent="0.25">
      <c r="N72" s="7"/>
      <c r="O72" s="7"/>
      <c r="P72" s="7">
        <v>44</v>
      </c>
      <c r="Q72" s="8" t="str">
        <f t="shared" si="0"/>
        <v/>
      </c>
      <c r="R72" s="8"/>
      <c r="S72" s="8" t="str">
        <f t="shared" si="3"/>
        <v/>
      </c>
      <c r="T72" s="8"/>
      <c r="U72" s="8" t="str">
        <f t="shared" si="1"/>
        <v/>
      </c>
      <c r="V72" s="8" t="str">
        <f t="shared" si="2"/>
        <v/>
      </c>
      <c r="W72" s="7"/>
      <c r="X72" s="7"/>
      <c r="Y72" s="7"/>
      <c r="Z72" s="7"/>
    </row>
    <row r="73" spans="14:26" hidden="1" x14ac:dyDescent="0.25">
      <c r="N73" s="7"/>
      <c r="O73" s="7"/>
      <c r="P73" s="7">
        <v>45</v>
      </c>
      <c r="Q73" s="8" t="str">
        <f t="shared" si="0"/>
        <v/>
      </c>
      <c r="R73" s="8"/>
      <c r="S73" s="8" t="str">
        <f t="shared" si="3"/>
        <v/>
      </c>
      <c r="T73" s="8"/>
      <c r="U73" s="8" t="str">
        <f t="shared" si="1"/>
        <v/>
      </c>
      <c r="V73" s="8" t="str">
        <f t="shared" si="2"/>
        <v/>
      </c>
      <c r="W73" s="7"/>
      <c r="X73" s="7"/>
      <c r="Y73" s="7"/>
      <c r="Z73" s="7"/>
    </row>
    <row r="74" spans="14:26" hidden="1" x14ac:dyDescent="0.25">
      <c r="N74" s="7"/>
      <c r="O74" s="7"/>
      <c r="P74" s="7">
        <v>46</v>
      </c>
      <c r="Q74" s="8" t="str">
        <f t="shared" si="0"/>
        <v/>
      </c>
      <c r="R74" s="8"/>
      <c r="S74" s="8" t="str">
        <f t="shared" si="3"/>
        <v/>
      </c>
      <c r="T74" s="8"/>
      <c r="U74" s="8" t="str">
        <f t="shared" si="1"/>
        <v/>
      </c>
      <c r="V74" s="8" t="str">
        <f t="shared" si="2"/>
        <v/>
      </c>
      <c r="W74" s="7"/>
      <c r="X74" s="7"/>
      <c r="Y74" s="7"/>
      <c r="Z74" s="7"/>
    </row>
    <row r="75" spans="14:26" hidden="1" x14ac:dyDescent="0.25">
      <c r="N75" s="7"/>
      <c r="O75" s="7"/>
      <c r="P75" s="7">
        <v>47</v>
      </c>
      <c r="Q75" s="8" t="str">
        <f t="shared" si="0"/>
        <v/>
      </c>
      <c r="R75" s="8"/>
      <c r="S75" s="8" t="str">
        <f t="shared" si="3"/>
        <v/>
      </c>
      <c r="T75" s="8"/>
      <c r="U75" s="8" t="str">
        <f t="shared" si="1"/>
        <v/>
      </c>
      <c r="V75" s="8" t="str">
        <f t="shared" si="2"/>
        <v/>
      </c>
      <c r="W75" s="7"/>
      <c r="X75" s="7"/>
      <c r="Y75" s="7"/>
      <c r="Z75" s="7"/>
    </row>
    <row r="76" spans="14:26" hidden="1" x14ac:dyDescent="0.25">
      <c r="N76" s="7"/>
      <c r="O76" s="7"/>
      <c r="P76" s="7">
        <v>48</v>
      </c>
      <c r="Q76" s="8" t="str">
        <f t="shared" si="0"/>
        <v/>
      </c>
      <c r="R76" s="8"/>
      <c r="S76" s="8" t="str">
        <f t="shared" si="3"/>
        <v/>
      </c>
      <c r="T76" s="8"/>
      <c r="U76" s="8" t="str">
        <f t="shared" si="1"/>
        <v/>
      </c>
      <c r="V76" s="8" t="str">
        <f t="shared" si="2"/>
        <v/>
      </c>
      <c r="W76" s="7"/>
      <c r="X76" s="7"/>
      <c r="Y76" s="7"/>
      <c r="Z76" s="7"/>
    </row>
    <row r="77" spans="14:26" hidden="1" x14ac:dyDescent="0.25">
      <c r="N77" s="7"/>
      <c r="O77" s="7"/>
      <c r="P77" s="7">
        <v>49</v>
      </c>
      <c r="Q77" s="8" t="str">
        <f t="shared" si="0"/>
        <v/>
      </c>
      <c r="R77" s="8"/>
      <c r="S77" s="8" t="str">
        <f t="shared" si="3"/>
        <v/>
      </c>
      <c r="T77" s="8"/>
      <c r="U77" s="8" t="str">
        <f t="shared" si="1"/>
        <v/>
      </c>
      <c r="V77" s="8" t="str">
        <f t="shared" si="2"/>
        <v/>
      </c>
      <c r="W77" s="7"/>
      <c r="X77" s="7"/>
      <c r="Y77" s="7"/>
      <c r="Z77" s="7"/>
    </row>
    <row r="78" spans="14:26" hidden="1" x14ac:dyDescent="0.25">
      <c r="N78" s="7"/>
      <c r="O78" s="7"/>
      <c r="P78" s="7">
        <v>50</v>
      </c>
      <c r="Q78" s="8" t="str">
        <f t="shared" si="0"/>
        <v/>
      </c>
      <c r="R78" s="8"/>
      <c r="S78" s="8" t="str">
        <f t="shared" si="3"/>
        <v/>
      </c>
      <c r="T78" s="8"/>
      <c r="U78" s="8" t="str">
        <f t="shared" si="1"/>
        <v/>
      </c>
      <c r="V78" s="8" t="str">
        <f t="shared" si="2"/>
        <v/>
      </c>
      <c r="W78" s="7"/>
      <c r="X78" s="7"/>
      <c r="Y78" s="7"/>
      <c r="Z78" s="7"/>
    </row>
    <row r="79" spans="14:26" hidden="1" x14ac:dyDescent="0.25">
      <c r="N79" s="7"/>
      <c r="O79" s="7"/>
      <c r="P79" s="7">
        <v>51</v>
      </c>
      <c r="Q79" s="8" t="str">
        <f t="shared" si="0"/>
        <v/>
      </c>
      <c r="R79" s="8"/>
      <c r="S79" s="8" t="str">
        <f t="shared" si="3"/>
        <v/>
      </c>
      <c r="T79" s="8"/>
      <c r="U79" s="8" t="str">
        <f t="shared" si="1"/>
        <v/>
      </c>
      <c r="V79" s="8" t="str">
        <f t="shared" si="2"/>
        <v/>
      </c>
      <c r="W79" s="7"/>
      <c r="X79" s="7"/>
      <c r="Y79" s="7"/>
      <c r="Z79" s="7"/>
    </row>
    <row r="80" spans="14:26" hidden="1" x14ac:dyDescent="0.25">
      <c r="N80" s="7"/>
      <c r="O80" s="7"/>
      <c r="P80" s="7">
        <v>52</v>
      </c>
      <c r="Q80" s="8" t="str">
        <f t="shared" si="0"/>
        <v/>
      </c>
      <c r="R80" s="8"/>
      <c r="S80" s="8" t="str">
        <f t="shared" si="3"/>
        <v/>
      </c>
      <c r="T80" s="8"/>
      <c r="U80" s="8" t="str">
        <f t="shared" si="1"/>
        <v/>
      </c>
      <c r="V80" s="8" t="str">
        <f t="shared" si="2"/>
        <v/>
      </c>
      <c r="W80" s="7"/>
      <c r="X80" s="7"/>
      <c r="Y80" s="7"/>
      <c r="Z80" s="7"/>
    </row>
    <row r="81" spans="14:26" hidden="1" x14ac:dyDescent="0.25">
      <c r="N81" s="7"/>
      <c r="O81" s="7"/>
      <c r="P81" s="7">
        <v>53</v>
      </c>
      <c r="Q81" s="8" t="str">
        <f t="shared" si="0"/>
        <v/>
      </c>
      <c r="R81" s="8"/>
      <c r="S81" s="8" t="str">
        <f t="shared" si="3"/>
        <v/>
      </c>
      <c r="T81" s="8"/>
      <c r="U81" s="8" t="str">
        <f t="shared" si="1"/>
        <v/>
      </c>
      <c r="V81" s="8" t="str">
        <f t="shared" si="2"/>
        <v/>
      </c>
      <c r="W81" s="7"/>
      <c r="X81" s="7"/>
      <c r="Y81" s="7"/>
      <c r="Z81" s="7"/>
    </row>
    <row r="82" spans="14:26" hidden="1" x14ac:dyDescent="0.25">
      <c r="N82" s="7"/>
      <c r="O82" s="7"/>
      <c r="P82" s="7">
        <v>54</v>
      </c>
      <c r="Q82" s="8" t="str">
        <f t="shared" si="0"/>
        <v/>
      </c>
      <c r="R82" s="8"/>
      <c r="S82" s="8" t="str">
        <f t="shared" si="3"/>
        <v/>
      </c>
      <c r="T82" s="8"/>
      <c r="U82" s="8" t="str">
        <f t="shared" si="1"/>
        <v/>
      </c>
      <c r="V82" s="8" t="str">
        <f t="shared" si="2"/>
        <v/>
      </c>
      <c r="W82" s="7"/>
      <c r="X82" s="7"/>
      <c r="Y82" s="7"/>
      <c r="Z82" s="7"/>
    </row>
    <row r="83" spans="14:26" hidden="1" x14ac:dyDescent="0.25">
      <c r="N83" s="7"/>
      <c r="O83" s="7"/>
      <c r="P83" s="7">
        <v>55</v>
      </c>
      <c r="Q83" s="8" t="str">
        <f t="shared" si="0"/>
        <v/>
      </c>
      <c r="R83" s="8"/>
      <c r="S83" s="8" t="str">
        <f t="shared" si="3"/>
        <v/>
      </c>
      <c r="T83" s="8"/>
      <c r="U83" s="8" t="str">
        <f t="shared" si="1"/>
        <v/>
      </c>
      <c r="V83" s="8" t="str">
        <f t="shared" si="2"/>
        <v/>
      </c>
      <c r="W83" s="7"/>
      <c r="X83" s="7"/>
      <c r="Y83" s="7"/>
      <c r="Z83" s="7"/>
    </row>
    <row r="84" spans="14:26" hidden="1" x14ac:dyDescent="0.25">
      <c r="N84" s="7"/>
      <c r="O84" s="7"/>
      <c r="P84" s="7">
        <v>56</v>
      </c>
      <c r="Q84" s="8" t="str">
        <f t="shared" si="0"/>
        <v/>
      </c>
      <c r="R84" s="8"/>
      <c r="S84" s="8" t="str">
        <f t="shared" si="3"/>
        <v/>
      </c>
      <c r="T84" s="8"/>
      <c r="U84" s="8" t="str">
        <f t="shared" si="1"/>
        <v/>
      </c>
      <c r="V84" s="8" t="str">
        <f t="shared" si="2"/>
        <v/>
      </c>
      <c r="W84" s="7"/>
      <c r="X84" s="7"/>
      <c r="Y84" s="7"/>
      <c r="Z84" s="7"/>
    </row>
    <row r="85" spans="14:26" hidden="1" x14ac:dyDescent="0.25">
      <c r="N85" s="7"/>
      <c r="O85" s="7"/>
      <c r="P85" s="7">
        <v>57</v>
      </c>
      <c r="Q85" s="8" t="str">
        <f t="shared" si="0"/>
        <v/>
      </c>
      <c r="R85" s="8"/>
      <c r="S85" s="8" t="str">
        <f t="shared" si="3"/>
        <v/>
      </c>
      <c r="T85" s="8"/>
      <c r="U85" s="8" t="str">
        <f t="shared" si="1"/>
        <v/>
      </c>
      <c r="V85" s="8" t="str">
        <f t="shared" si="2"/>
        <v/>
      </c>
      <c r="W85" s="7"/>
      <c r="X85" s="7"/>
      <c r="Y85" s="7"/>
      <c r="Z85" s="7"/>
    </row>
    <row r="86" spans="14:26" hidden="1" x14ac:dyDescent="0.25">
      <c r="N86" s="7"/>
      <c r="O86" s="7"/>
      <c r="P86" s="7">
        <v>58</v>
      </c>
      <c r="Q86" s="8" t="str">
        <f t="shared" si="0"/>
        <v/>
      </c>
      <c r="R86" s="8"/>
      <c r="S86" s="8" t="str">
        <f t="shared" si="3"/>
        <v/>
      </c>
      <c r="T86" s="8"/>
      <c r="U86" s="8" t="str">
        <f t="shared" si="1"/>
        <v/>
      </c>
      <c r="V86" s="8" t="str">
        <f t="shared" si="2"/>
        <v/>
      </c>
      <c r="W86" s="7"/>
      <c r="X86" s="7"/>
      <c r="Y86" s="7"/>
      <c r="Z86" s="7"/>
    </row>
    <row r="87" spans="14:26" hidden="1" x14ac:dyDescent="0.25">
      <c r="N87" s="7"/>
      <c r="O87" s="7"/>
      <c r="P87" s="7">
        <v>59</v>
      </c>
      <c r="Q87" s="8" t="str">
        <f t="shared" si="0"/>
        <v/>
      </c>
      <c r="R87" s="8"/>
      <c r="S87" s="8" t="str">
        <f t="shared" si="3"/>
        <v/>
      </c>
      <c r="T87" s="8"/>
      <c r="U87" s="8" t="str">
        <f t="shared" si="1"/>
        <v/>
      </c>
      <c r="V87" s="8" t="str">
        <f t="shared" si="2"/>
        <v/>
      </c>
      <c r="W87" s="7"/>
      <c r="X87" s="7"/>
      <c r="Y87" s="7"/>
      <c r="Z87" s="7"/>
    </row>
    <row r="88" spans="14:26" hidden="1" x14ac:dyDescent="0.25">
      <c r="N88" s="7"/>
      <c r="O88" s="7"/>
      <c r="P88" s="7">
        <v>60</v>
      </c>
      <c r="Q88" s="8" t="str">
        <f t="shared" si="0"/>
        <v/>
      </c>
      <c r="R88" s="8"/>
      <c r="S88" s="8" t="str">
        <f t="shared" si="3"/>
        <v/>
      </c>
      <c r="T88" s="8"/>
      <c r="U88" s="8" t="str">
        <f t="shared" si="1"/>
        <v/>
      </c>
      <c r="V88" s="8" t="str">
        <f t="shared" si="2"/>
        <v/>
      </c>
      <c r="W88" s="7"/>
      <c r="X88" s="7"/>
      <c r="Y88" s="7"/>
      <c r="Z88" s="7"/>
    </row>
    <row r="89" spans="14:26" hidden="1" x14ac:dyDescent="0.25">
      <c r="N89" s="7"/>
      <c r="O89" s="7"/>
      <c r="P89" s="7">
        <v>61</v>
      </c>
      <c r="Q89" s="8" t="str">
        <f t="shared" si="0"/>
        <v/>
      </c>
      <c r="R89" s="8"/>
      <c r="S89" s="8" t="str">
        <f t="shared" si="3"/>
        <v/>
      </c>
      <c r="T89" s="8"/>
      <c r="U89" s="8" t="str">
        <f t="shared" si="1"/>
        <v/>
      </c>
      <c r="V89" s="8" t="str">
        <f t="shared" si="2"/>
        <v/>
      </c>
      <c r="W89" s="7"/>
      <c r="X89" s="7"/>
      <c r="Y89" s="7"/>
      <c r="Z89" s="7"/>
    </row>
    <row r="90" spans="14:26" hidden="1" x14ac:dyDescent="0.25">
      <c r="N90" s="7"/>
      <c r="O90" s="7"/>
      <c r="P90" s="7">
        <v>62</v>
      </c>
      <c r="Q90" s="8" t="str">
        <f t="shared" si="0"/>
        <v/>
      </c>
      <c r="R90" s="8"/>
      <c r="S90" s="8" t="str">
        <f t="shared" si="3"/>
        <v/>
      </c>
      <c r="T90" s="8"/>
      <c r="U90" s="8" t="str">
        <f t="shared" si="1"/>
        <v/>
      </c>
      <c r="V90" s="8" t="str">
        <f t="shared" si="2"/>
        <v/>
      </c>
      <c r="W90" s="7"/>
      <c r="X90" s="7"/>
      <c r="Y90" s="7"/>
      <c r="Z90" s="7"/>
    </row>
    <row r="91" spans="14:26" hidden="1" x14ac:dyDescent="0.25">
      <c r="N91" s="7"/>
      <c r="O91" s="7"/>
      <c r="P91" s="7">
        <v>63</v>
      </c>
      <c r="Q91" s="8" t="str">
        <f t="shared" si="0"/>
        <v/>
      </c>
      <c r="R91" s="8"/>
      <c r="S91" s="8" t="str">
        <f t="shared" si="3"/>
        <v/>
      </c>
      <c r="T91" s="8"/>
      <c r="U91" s="8" t="str">
        <f t="shared" si="1"/>
        <v/>
      </c>
      <c r="V91" s="8" t="str">
        <f t="shared" si="2"/>
        <v/>
      </c>
      <c r="W91" s="7"/>
      <c r="X91" s="7"/>
      <c r="Y91" s="7"/>
      <c r="Z91" s="7"/>
    </row>
    <row r="92" spans="14:26" hidden="1" x14ac:dyDescent="0.25">
      <c r="N92" s="7"/>
      <c r="O92" s="7"/>
      <c r="P92" s="7">
        <v>64</v>
      </c>
      <c r="Q92" s="8" t="str">
        <f t="shared" si="0"/>
        <v/>
      </c>
      <c r="R92" s="8"/>
      <c r="S92" s="8" t="str">
        <f t="shared" si="3"/>
        <v/>
      </c>
      <c r="T92" s="8"/>
      <c r="U92" s="8" t="str">
        <f t="shared" si="1"/>
        <v/>
      </c>
      <c r="V92" s="8" t="str">
        <f t="shared" si="2"/>
        <v/>
      </c>
      <c r="W92" s="7"/>
      <c r="X92" s="7"/>
      <c r="Y92" s="7"/>
      <c r="Z92" s="7"/>
    </row>
    <row r="93" spans="14:26" hidden="1" x14ac:dyDescent="0.25">
      <c r="N93" s="7"/>
      <c r="O93" s="7"/>
      <c r="P93" s="7">
        <v>65</v>
      </c>
      <c r="Q93" s="8" t="str">
        <f t="shared" si="0"/>
        <v/>
      </c>
      <c r="R93" s="8"/>
      <c r="S93" s="8" t="str">
        <f t="shared" si="3"/>
        <v/>
      </c>
      <c r="T93" s="8"/>
      <c r="U93" s="8" t="str">
        <f t="shared" si="1"/>
        <v/>
      </c>
      <c r="V93" s="8" t="str">
        <f t="shared" si="2"/>
        <v/>
      </c>
      <c r="W93" s="7"/>
      <c r="X93" s="7"/>
      <c r="Y93" s="7"/>
      <c r="Z93" s="7"/>
    </row>
    <row r="94" spans="14:26" hidden="1" x14ac:dyDescent="0.25">
      <c r="N94" s="7"/>
      <c r="O94" s="7"/>
      <c r="P94" s="7">
        <v>66</v>
      </c>
      <c r="Q94" s="8" t="str">
        <f t="shared" ref="Q94:Q148" si="4">IFERROR(U94+V94,"")</f>
        <v/>
      </c>
      <c r="R94" s="8"/>
      <c r="S94" s="8" t="str">
        <f t="shared" si="3"/>
        <v/>
      </c>
      <c r="T94" s="8"/>
      <c r="U94" s="8" t="str">
        <f t="shared" ref="U94:U148" si="5">IFERROR(IPMT($R$21/12,P94,$R$24,-$R$25),"")</f>
        <v/>
      </c>
      <c r="V94" s="8" t="str">
        <f t="shared" ref="V94:V148" si="6">IFERROR(PPMT($R$21/12,P94,$R$24,-$R$25),"")</f>
        <v/>
      </c>
      <c r="W94" s="7"/>
      <c r="X94" s="7"/>
      <c r="Y94" s="7"/>
      <c r="Z94" s="7"/>
    </row>
    <row r="95" spans="14:26" hidden="1" x14ac:dyDescent="0.25">
      <c r="N95" s="7"/>
      <c r="O95" s="7"/>
      <c r="P95" s="7">
        <v>67</v>
      </c>
      <c r="Q95" s="8" t="str">
        <f t="shared" si="4"/>
        <v/>
      </c>
      <c r="R95" s="8"/>
      <c r="S95" s="8" t="str">
        <f t="shared" ref="S95:S148" si="7">IFERROR(Q95+S94,"")</f>
        <v/>
      </c>
      <c r="T95" s="8"/>
      <c r="U95" s="8" t="str">
        <f t="shared" si="5"/>
        <v/>
      </c>
      <c r="V95" s="8" t="str">
        <f t="shared" si="6"/>
        <v/>
      </c>
      <c r="W95" s="7"/>
      <c r="X95" s="7"/>
      <c r="Y95" s="7"/>
      <c r="Z95" s="7"/>
    </row>
    <row r="96" spans="14:26" hidden="1" x14ac:dyDescent="0.25">
      <c r="N96" s="7"/>
      <c r="O96" s="7"/>
      <c r="P96" s="7">
        <v>68</v>
      </c>
      <c r="Q96" s="8" t="str">
        <f t="shared" si="4"/>
        <v/>
      </c>
      <c r="R96" s="8"/>
      <c r="S96" s="8" t="str">
        <f t="shared" si="7"/>
        <v/>
      </c>
      <c r="T96" s="8"/>
      <c r="U96" s="8" t="str">
        <f t="shared" si="5"/>
        <v/>
      </c>
      <c r="V96" s="8" t="str">
        <f t="shared" si="6"/>
        <v/>
      </c>
      <c r="W96" s="7"/>
      <c r="X96" s="7"/>
      <c r="Y96" s="7"/>
      <c r="Z96" s="7"/>
    </row>
    <row r="97" spans="14:26" hidden="1" x14ac:dyDescent="0.25">
      <c r="N97" s="7"/>
      <c r="O97" s="7"/>
      <c r="P97" s="7">
        <v>69</v>
      </c>
      <c r="Q97" s="8" t="str">
        <f t="shared" si="4"/>
        <v/>
      </c>
      <c r="R97" s="8"/>
      <c r="S97" s="8" t="str">
        <f t="shared" si="7"/>
        <v/>
      </c>
      <c r="T97" s="8"/>
      <c r="U97" s="8" t="str">
        <f t="shared" si="5"/>
        <v/>
      </c>
      <c r="V97" s="8" t="str">
        <f t="shared" si="6"/>
        <v/>
      </c>
      <c r="W97" s="7"/>
      <c r="X97" s="7"/>
      <c r="Y97" s="7"/>
      <c r="Z97" s="7"/>
    </row>
    <row r="98" spans="14:26" hidden="1" x14ac:dyDescent="0.25">
      <c r="N98" s="7"/>
      <c r="O98" s="7"/>
      <c r="P98" s="7">
        <v>70</v>
      </c>
      <c r="Q98" s="8" t="str">
        <f t="shared" si="4"/>
        <v/>
      </c>
      <c r="R98" s="8"/>
      <c r="S98" s="8" t="str">
        <f t="shared" si="7"/>
        <v/>
      </c>
      <c r="T98" s="8"/>
      <c r="U98" s="8" t="str">
        <f t="shared" si="5"/>
        <v/>
      </c>
      <c r="V98" s="8" t="str">
        <f t="shared" si="6"/>
        <v/>
      </c>
      <c r="W98" s="7"/>
      <c r="X98" s="7"/>
      <c r="Y98" s="7"/>
      <c r="Z98" s="7"/>
    </row>
    <row r="99" spans="14:26" hidden="1" x14ac:dyDescent="0.25">
      <c r="N99" s="7"/>
      <c r="O99" s="7"/>
      <c r="P99" s="7">
        <v>71</v>
      </c>
      <c r="Q99" s="8" t="str">
        <f t="shared" si="4"/>
        <v/>
      </c>
      <c r="R99" s="8"/>
      <c r="S99" s="8" t="str">
        <f t="shared" si="7"/>
        <v/>
      </c>
      <c r="T99" s="8"/>
      <c r="U99" s="8" t="str">
        <f t="shared" si="5"/>
        <v/>
      </c>
      <c r="V99" s="8" t="str">
        <f t="shared" si="6"/>
        <v/>
      </c>
      <c r="W99" s="7"/>
      <c r="X99" s="7"/>
      <c r="Y99" s="7"/>
      <c r="Z99" s="7"/>
    </row>
    <row r="100" spans="14:26" ht="17.25" hidden="1" customHeight="1" x14ac:dyDescent="0.25">
      <c r="N100" s="7"/>
      <c r="O100" s="7"/>
      <c r="P100" s="7">
        <v>72</v>
      </c>
      <c r="Q100" s="8" t="str">
        <f t="shared" si="4"/>
        <v/>
      </c>
      <c r="R100" s="8"/>
      <c r="S100" s="8" t="str">
        <f t="shared" si="7"/>
        <v/>
      </c>
      <c r="T100" s="8"/>
      <c r="U100" s="8" t="str">
        <f t="shared" si="5"/>
        <v/>
      </c>
      <c r="V100" s="8" t="str">
        <f t="shared" si="6"/>
        <v/>
      </c>
      <c r="W100" s="7"/>
      <c r="X100" s="7"/>
      <c r="Y100" s="7"/>
      <c r="Z100" s="7"/>
    </row>
    <row r="101" spans="14:26" hidden="1" x14ac:dyDescent="0.25">
      <c r="N101" s="7"/>
      <c r="O101" s="7"/>
      <c r="P101" s="7">
        <v>73</v>
      </c>
      <c r="Q101" s="8" t="str">
        <f t="shared" si="4"/>
        <v/>
      </c>
      <c r="R101" s="8"/>
      <c r="S101" s="8" t="str">
        <f t="shared" si="7"/>
        <v/>
      </c>
      <c r="T101" s="8"/>
      <c r="U101" s="8" t="str">
        <f t="shared" si="5"/>
        <v/>
      </c>
      <c r="V101" s="8" t="str">
        <f t="shared" si="6"/>
        <v/>
      </c>
      <c r="W101" s="7"/>
      <c r="X101" s="7"/>
      <c r="Y101" s="7"/>
      <c r="Z101" s="7"/>
    </row>
    <row r="102" spans="14:26" hidden="1" x14ac:dyDescent="0.25">
      <c r="N102" s="7"/>
      <c r="O102" s="7"/>
      <c r="P102" s="7">
        <v>74</v>
      </c>
      <c r="Q102" s="8" t="str">
        <f t="shared" si="4"/>
        <v/>
      </c>
      <c r="R102" s="8"/>
      <c r="S102" s="8" t="str">
        <f t="shared" si="7"/>
        <v/>
      </c>
      <c r="T102" s="8"/>
      <c r="U102" s="8" t="str">
        <f t="shared" si="5"/>
        <v/>
      </c>
      <c r="V102" s="8" t="str">
        <f t="shared" si="6"/>
        <v/>
      </c>
      <c r="W102" s="7"/>
      <c r="X102" s="7"/>
      <c r="Y102" s="7"/>
      <c r="Z102" s="7"/>
    </row>
    <row r="103" spans="14:26" hidden="1" x14ac:dyDescent="0.25">
      <c r="N103" s="7"/>
      <c r="O103" s="7"/>
      <c r="P103" s="7">
        <v>75</v>
      </c>
      <c r="Q103" s="8" t="str">
        <f t="shared" si="4"/>
        <v/>
      </c>
      <c r="R103" s="8"/>
      <c r="S103" s="8" t="str">
        <f t="shared" si="7"/>
        <v/>
      </c>
      <c r="T103" s="8"/>
      <c r="U103" s="8" t="str">
        <f t="shared" si="5"/>
        <v/>
      </c>
      <c r="V103" s="8" t="str">
        <f t="shared" si="6"/>
        <v/>
      </c>
      <c r="W103" s="7"/>
      <c r="X103" s="7"/>
      <c r="Y103" s="7"/>
      <c r="Z103" s="7"/>
    </row>
    <row r="104" spans="14:26" hidden="1" x14ac:dyDescent="0.25">
      <c r="N104" s="7"/>
      <c r="O104" s="7"/>
      <c r="P104" s="7">
        <v>76</v>
      </c>
      <c r="Q104" s="8" t="str">
        <f t="shared" si="4"/>
        <v/>
      </c>
      <c r="R104" s="8"/>
      <c r="S104" s="8" t="str">
        <f t="shared" si="7"/>
        <v/>
      </c>
      <c r="T104" s="8"/>
      <c r="U104" s="8" t="str">
        <f t="shared" si="5"/>
        <v/>
      </c>
      <c r="V104" s="8" t="str">
        <f t="shared" si="6"/>
        <v/>
      </c>
      <c r="W104" s="7"/>
      <c r="X104" s="7"/>
      <c r="Y104" s="7"/>
      <c r="Z104" s="7"/>
    </row>
    <row r="105" spans="14:26" hidden="1" x14ac:dyDescent="0.25">
      <c r="N105" s="7"/>
      <c r="O105" s="7"/>
      <c r="P105" s="7">
        <v>77</v>
      </c>
      <c r="Q105" s="8" t="str">
        <f t="shared" si="4"/>
        <v/>
      </c>
      <c r="R105" s="8"/>
      <c r="S105" s="8" t="str">
        <f t="shared" si="7"/>
        <v/>
      </c>
      <c r="T105" s="8"/>
      <c r="U105" s="8" t="str">
        <f t="shared" si="5"/>
        <v/>
      </c>
      <c r="V105" s="8" t="str">
        <f t="shared" si="6"/>
        <v/>
      </c>
      <c r="W105" s="7"/>
      <c r="X105" s="7"/>
      <c r="Y105" s="7"/>
      <c r="Z105" s="7"/>
    </row>
    <row r="106" spans="14:26" hidden="1" x14ac:dyDescent="0.25">
      <c r="N106" s="7"/>
      <c r="O106" s="7"/>
      <c r="P106" s="7">
        <v>78</v>
      </c>
      <c r="Q106" s="8" t="str">
        <f t="shared" si="4"/>
        <v/>
      </c>
      <c r="R106" s="8"/>
      <c r="S106" s="8" t="str">
        <f t="shared" si="7"/>
        <v/>
      </c>
      <c r="T106" s="8"/>
      <c r="U106" s="8" t="str">
        <f t="shared" si="5"/>
        <v/>
      </c>
      <c r="V106" s="8" t="str">
        <f t="shared" si="6"/>
        <v/>
      </c>
      <c r="W106" s="7"/>
      <c r="X106" s="7"/>
      <c r="Y106" s="7"/>
      <c r="Z106" s="7"/>
    </row>
    <row r="107" spans="14:26" hidden="1" x14ac:dyDescent="0.25">
      <c r="N107" s="7"/>
      <c r="O107" s="7"/>
      <c r="P107" s="7">
        <v>79</v>
      </c>
      <c r="Q107" s="8" t="str">
        <f t="shared" si="4"/>
        <v/>
      </c>
      <c r="R107" s="8"/>
      <c r="S107" s="8" t="str">
        <f t="shared" si="7"/>
        <v/>
      </c>
      <c r="T107" s="8"/>
      <c r="U107" s="8" t="str">
        <f t="shared" si="5"/>
        <v/>
      </c>
      <c r="V107" s="8" t="str">
        <f t="shared" si="6"/>
        <v/>
      </c>
      <c r="W107" s="7"/>
      <c r="X107" s="7"/>
      <c r="Y107" s="7"/>
      <c r="Z107" s="7"/>
    </row>
    <row r="108" spans="14:26" hidden="1" x14ac:dyDescent="0.25">
      <c r="N108" s="7"/>
      <c r="O108" s="7"/>
      <c r="P108" s="7">
        <v>80</v>
      </c>
      <c r="Q108" s="8" t="str">
        <f t="shared" si="4"/>
        <v/>
      </c>
      <c r="R108" s="8"/>
      <c r="S108" s="8" t="str">
        <f t="shared" si="7"/>
        <v/>
      </c>
      <c r="T108" s="8"/>
      <c r="U108" s="8" t="str">
        <f t="shared" si="5"/>
        <v/>
      </c>
      <c r="V108" s="8" t="str">
        <f t="shared" si="6"/>
        <v/>
      </c>
      <c r="W108" s="7"/>
      <c r="X108" s="7"/>
      <c r="Y108" s="7"/>
      <c r="Z108" s="7"/>
    </row>
    <row r="109" spans="14:26" hidden="1" x14ac:dyDescent="0.25">
      <c r="N109" s="7"/>
      <c r="O109" s="7"/>
      <c r="P109" s="7">
        <v>81</v>
      </c>
      <c r="Q109" s="8" t="str">
        <f t="shared" si="4"/>
        <v/>
      </c>
      <c r="R109" s="8"/>
      <c r="S109" s="8" t="str">
        <f t="shared" si="7"/>
        <v/>
      </c>
      <c r="T109" s="8"/>
      <c r="U109" s="8" t="str">
        <f t="shared" si="5"/>
        <v/>
      </c>
      <c r="V109" s="8" t="str">
        <f t="shared" si="6"/>
        <v/>
      </c>
      <c r="W109" s="7"/>
      <c r="X109" s="7"/>
      <c r="Y109" s="7"/>
      <c r="Z109" s="7"/>
    </row>
    <row r="110" spans="14:26" hidden="1" x14ac:dyDescent="0.25">
      <c r="N110" s="7"/>
      <c r="O110" s="7"/>
      <c r="P110" s="7">
        <v>82</v>
      </c>
      <c r="Q110" s="8" t="str">
        <f t="shared" si="4"/>
        <v/>
      </c>
      <c r="R110" s="8"/>
      <c r="S110" s="8" t="str">
        <f t="shared" si="7"/>
        <v/>
      </c>
      <c r="T110" s="8"/>
      <c r="U110" s="8" t="str">
        <f t="shared" si="5"/>
        <v/>
      </c>
      <c r="V110" s="8" t="str">
        <f t="shared" si="6"/>
        <v/>
      </c>
      <c r="W110" s="7"/>
      <c r="X110" s="7"/>
      <c r="Y110" s="7"/>
      <c r="Z110" s="7"/>
    </row>
    <row r="111" spans="14:26" hidden="1" x14ac:dyDescent="0.25">
      <c r="N111" s="7"/>
      <c r="O111" s="7"/>
      <c r="P111" s="7">
        <v>83</v>
      </c>
      <c r="Q111" s="8" t="str">
        <f t="shared" si="4"/>
        <v/>
      </c>
      <c r="R111" s="8"/>
      <c r="S111" s="8" t="str">
        <f t="shared" si="7"/>
        <v/>
      </c>
      <c r="T111" s="8"/>
      <c r="U111" s="8" t="str">
        <f t="shared" si="5"/>
        <v/>
      </c>
      <c r="V111" s="8" t="str">
        <f t="shared" si="6"/>
        <v/>
      </c>
      <c r="W111" s="7"/>
      <c r="X111" s="7"/>
      <c r="Y111" s="7"/>
      <c r="Z111" s="7"/>
    </row>
    <row r="112" spans="14:26" hidden="1" x14ac:dyDescent="0.25">
      <c r="N112" s="7"/>
      <c r="O112" s="7"/>
      <c r="P112" s="7">
        <v>84</v>
      </c>
      <c r="Q112" s="8" t="str">
        <f t="shared" si="4"/>
        <v/>
      </c>
      <c r="R112" s="8"/>
      <c r="S112" s="8" t="str">
        <f t="shared" si="7"/>
        <v/>
      </c>
      <c r="T112" s="8"/>
      <c r="U112" s="8" t="str">
        <f t="shared" si="5"/>
        <v/>
      </c>
      <c r="V112" s="8" t="str">
        <f t="shared" si="6"/>
        <v/>
      </c>
      <c r="W112" s="7"/>
      <c r="X112" s="7"/>
      <c r="Y112" s="7"/>
      <c r="Z112" s="7"/>
    </row>
    <row r="113" spans="14:26" hidden="1" x14ac:dyDescent="0.25">
      <c r="N113" s="7"/>
      <c r="O113" s="7"/>
      <c r="P113" s="7">
        <v>85</v>
      </c>
      <c r="Q113" s="8" t="str">
        <f t="shared" si="4"/>
        <v/>
      </c>
      <c r="R113" s="8"/>
      <c r="S113" s="8" t="str">
        <f t="shared" si="7"/>
        <v/>
      </c>
      <c r="T113" s="8"/>
      <c r="U113" s="8" t="str">
        <f t="shared" si="5"/>
        <v/>
      </c>
      <c r="V113" s="8" t="str">
        <f t="shared" si="6"/>
        <v/>
      </c>
      <c r="W113" s="7"/>
      <c r="X113" s="7"/>
      <c r="Y113" s="7"/>
      <c r="Z113" s="7"/>
    </row>
    <row r="114" spans="14:26" hidden="1" x14ac:dyDescent="0.25">
      <c r="N114" s="7"/>
      <c r="O114" s="7"/>
      <c r="P114" s="7">
        <v>86</v>
      </c>
      <c r="Q114" s="8" t="str">
        <f t="shared" si="4"/>
        <v/>
      </c>
      <c r="R114" s="8"/>
      <c r="S114" s="8" t="str">
        <f t="shared" si="7"/>
        <v/>
      </c>
      <c r="T114" s="8"/>
      <c r="U114" s="8" t="str">
        <f t="shared" si="5"/>
        <v/>
      </c>
      <c r="V114" s="8" t="str">
        <f t="shared" si="6"/>
        <v/>
      </c>
      <c r="W114" s="7"/>
      <c r="X114" s="7"/>
      <c r="Y114" s="7"/>
      <c r="Z114" s="7"/>
    </row>
    <row r="115" spans="14:26" hidden="1" x14ac:dyDescent="0.25">
      <c r="N115" s="7"/>
      <c r="O115" s="7"/>
      <c r="P115" s="7">
        <v>87</v>
      </c>
      <c r="Q115" s="8" t="str">
        <f t="shared" si="4"/>
        <v/>
      </c>
      <c r="R115" s="8"/>
      <c r="S115" s="8" t="str">
        <f t="shared" si="7"/>
        <v/>
      </c>
      <c r="T115" s="8"/>
      <c r="U115" s="8" t="str">
        <f t="shared" si="5"/>
        <v/>
      </c>
      <c r="V115" s="8" t="str">
        <f t="shared" si="6"/>
        <v/>
      </c>
      <c r="W115" s="7"/>
      <c r="X115" s="7"/>
      <c r="Y115" s="7"/>
      <c r="Z115" s="7"/>
    </row>
    <row r="116" spans="14:26" hidden="1" x14ac:dyDescent="0.25">
      <c r="N116" s="7"/>
      <c r="O116" s="7"/>
      <c r="P116" s="7">
        <v>88</v>
      </c>
      <c r="Q116" s="8" t="str">
        <f t="shared" si="4"/>
        <v/>
      </c>
      <c r="R116" s="8"/>
      <c r="S116" s="8" t="str">
        <f t="shared" si="7"/>
        <v/>
      </c>
      <c r="T116" s="8"/>
      <c r="U116" s="8" t="str">
        <f t="shared" si="5"/>
        <v/>
      </c>
      <c r="V116" s="8" t="str">
        <f t="shared" si="6"/>
        <v/>
      </c>
      <c r="W116" s="7"/>
      <c r="X116" s="7"/>
      <c r="Y116" s="7"/>
      <c r="Z116" s="7"/>
    </row>
    <row r="117" spans="14:26" hidden="1" x14ac:dyDescent="0.25">
      <c r="N117" s="7"/>
      <c r="O117" s="7"/>
      <c r="P117" s="7">
        <v>89</v>
      </c>
      <c r="Q117" s="8" t="str">
        <f t="shared" si="4"/>
        <v/>
      </c>
      <c r="R117" s="8"/>
      <c r="S117" s="8" t="str">
        <f t="shared" si="7"/>
        <v/>
      </c>
      <c r="T117" s="8"/>
      <c r="U117" s="8" t="str">
        <f t="shared" si="5"/>
        <v/>
      </c>
      <c r="V117" s="8" t="str">
        <f t="shared" si="6"/>
        <v/>
      </c>
      <c r="W117" s="7"/>
      <c r="X117" s="7"/>
      <c r="Y117" s="7"/>
      <c r="Z117" s="7"/>
    </row>
    <row r="118" spans="14:26" hidden="1" x14ac:dyDescent="0.25">
      <c r="N118" s="7"/>
      <c r="O118" s="7"/>
      <c r="P118" s="7">
        <v>90</v>
      </c>
      <c r="Q118" s="8" t="str">
        <f t="shared" si="4"/>
        <v/>
      </c>
      <c r="R118" s="8"/>
      <c r="S118" s="8" t="str">
        <f t="shared" si="7"/>
        <v/>
      </c>
      <c r="T118" s="8"/>
      <c r="U118" s="8" t="str">
        <f t="shared" si="5"/>
        <v/>
      </c>
      <c r="V118" s="8" t="str">
        <f t="shared" si="6"/>
        <v/>
      </c>
      <c r="W118" s="7"/>
      <c r="X118" s="7"/>
      <c r="Y118" s="7"/>
      <c r="Z118" s="7"/>
    </row>
    <row r="119" spans="14:26" hidden="1" x14ac:dyDescent="0.25">
      <c r="N119" s="7"/>
      <c r="O119" s="7"/>
      <c r="P119" s="7">
        <v>91</v>
      </c>
      <c r="Q119" s="8" t="str">
        <f t="shared" si="4"/>
        <v/>
      </c>
      <c r="R119" s="8"/>
      <c r="S119" s="8" t="str">
        <f t="shared" si="7"/>
        <v/>
      </c>
      <c r="T119" s="8"/>
      <c r="U119" s="8" t="str">
        <f t="shared" si="5"/>
        <v/>
      </c>
      <c r="V119" s="8" t="str">
        <f t="shared" si="6"/>
        <v/>
      </c>
      <c r="W119" s="7"/>
      <c r="X119" s="7"/>
      <c r="Y119" s="7"/>
      <c r="Z119" s="7"/>
    </row>
    <row r="120" spans="14:26" hidden="1" x14ac:dyDescent="0.25">
      <c r="N120" s="7"/>
      <c r="O120" s="7"/>
      <c r="P120" s="7">
        <v>92</v>
      </c>
      <c r="Q120" s="8" t="str">
        <f t="shared" si="4"/>
        <v/>
      </c>
      <c r="R120" s="8"/>
      <c r="S120" s="8" t="str">
        <f t="shared" si="7"/>
        <v/>
      </c>
      <c r="T120" s="8"/>
      <c r="U120" s="8" t="str">
        <f t="shared" si="5"/>
        <v/>
      </c>
      <c r="V120" s="8" t="str">
        <f t="shared" si="6"/>
        <v/>
      </c>
      <c r="W120" s="7"/>
      <c r="X120" s="7"/>
      <c r="Y120" s="7"/>
      <c r="Z120" s="7"/>
    </row>
    <row r="121" spans="14:26" hidden="1" x14ac:dyDescent="0.25">
      <c r="N121" s="7"/>
      <c r="O121" s="7"/>
      <c r="P121" s="7">
        <v>93</v>
      </c>
      <c r="Q121" s="8" t="str">
        <f t="shared" si="4"/>
        <v/>
      </c>
      <c r="R121" s="8"/>
      <c r="S121" s="8" t="str">
        <f t="shared" si="7"/>
        <v/>
      </c>
      <c r="T121" s="8"/>
      <c r="U121" s="8" t="str">
        <f t="shared" si="5"/>
        <v/>
      </c>
      <c r="V121" s="8" t="str">
        <f t="shared" si="6"/>
        <v/>
      </c>
      <c r="W121" s="7"/>
      <c r="X121" s="7"/>
      <c r="Y121" s="7"/>
      <c r="Z121" s="7"/>
    </row>
    <row r="122" spans="14:26" hidden="1" x14ac:dyDescent="0.25">
      <c r="N122" s="7"/>
      <c r="O122" s="7"/>
      <c r="P122" s="7">
        <v>94</v>
      </c>
      <c r="Q122" s="8" t="str">
        <f t="shared" si="4"/>
        <v/>
      </c>
      <c r="R122" s="8"/>
      <c r="S122" s="8" t="str">
        <f t="shared" si="7"/>
        <v/>
      </c>
      <c r="T122" s="8"/>
      <c r="U122" s="8" t="str">
        <f t="shared" si="5"/>
        <v/>
      </c>
      <c r="V122" s="8" t="str">
        <f t="shared" si="6"/>
        <v/>
      </c>
      <c r="W122" s="7"/>
      <c r="X122" s="7"/>
      <c r="Y122" s="7"/>
      <c r="Z122" s="7"/>
    </row>
    <row r="123" spans="14:26" hidden="1" x14ac:dyDescent="0.25">
      <c r="N123" s="7"/>
      <c r="O123" s="7"/>
      <c r="P123" s="7">
        <v>95</v>
      </c>
      <c r="Q123" s="8" t="str">
        <f t="shared" si="4"/>
        <v/>
      </c>
      <c r="R123" s="8"/>
      <c r="S123" s="8" t="str">
        <f t="shared" si="7"/>
        <v/>
      </c>
      <c r="T123" s="8"/>
      <c r="U123" s="8" t="str">
        <f t="shared" si="5"/>
        <v/>
      </c>
      <c r="V123" s="8" t="str">
        <f t="shared" si="6"/>
        <v/>
      </c>
      <c r="W123" s="7"/>
      <c r="X123" s="7"/>
      <c r="Y123" s="7"/>
      <c r="Z123" s="7"/>
    </row>
    <row r="124" spans="14:26" hidden="1" x14ac:dyDescent="0.25">
      <c r="N124" s="7"/>
      <c r="O124" s="7"/>
      <c r="P124" s="7">
        <v>96</v>
      </c>
      <c r="Q124" s="8" t="str">
        <f t="shared" si="4"/>
        <v/>
      </c>
      <c r="R124" s="8"/>
      <c r="S124" s="8" t="str">
        <f t="shared" si="7"/>
        <v/>
      </c>
      <c r="T124" s="8"/>
      <c r="U124" s="8" t="str">
        <f t="shared" si="5"/>
        <v/>
      </c>
      <c r="V124" s="8" t="str">
        <f t="shared" si="6"/>
        <v/>
      </c>
      <c r="W124" s="7"/>
      <c r="X124" s="7"/>
      <c r="Y124" s="7"/>
      <c r="Z124" s="7"/>
    </row>
    <row r="125" spans="14:26" hidden="1" x14ac:dyDescent="0.25">
      <c r="N125" s="7"/>
      <c r="O125" s="7"/>
      <c r="P125" s="7">
        <v>97</v>
      </c>
      <c r="Q125" s="8" t="str">
        <f t="shared" si="4"/>
        <v/>
      </c>
      <c r="R125" s="8"/>
      <c r="S125" s="8" t="str">
        <f t="shared" si="7"/>
        <v/>
      </c>
      <c r="T125" s="8"/>
      <c r="U125" s="8" t="str">
        <f t="shared" si="5"/>
        <v/>
      </c>
      <c r="V125" s="8" t="str">
        <f t="shared" si="6"/>
        <v/>
      </c>
      <c r="W125" s="7"/>
      <c r="X125" s="7"/>
      <c r="Y125" s="7"/>
      <c r="Z125" s="7"/>
    </row>
    <row r="126" spans="14:26" hidden="1" x14ac:dyDescent="0.25">
      <c r="N126" s="7"/>
      <c r="O126" s="7"/>
      <c r="P126" s="7">
        <v>98</v>
      </c>
      <c r="Q126" s="8" t="str">
        <f t="shared" si="4"/>
        <v/>
      </c>
      <c r="R126" s="8"/>
      <c r="S126" s="8" t="str">
        <f t="shared" si="7"/>
        <v/>
      </c>
      <c r="T126" s="8"/>
      <c r="U126" s="8" t="str">
        <f t="shared" si="5"/>
        <v/>
      </c>
      <c r="V126" s="8" t="str">
        <f t="shared" si="6"/>
        <v/>
      </c>
      <c r="W126" s="7"/>
      <c r="X126" s="7"/>
      <c r="Y126" s="7"/>
      <c r="Z126" s="7"/>
    </row>
    <row r="127" spans="14:26" hidden="1" x14ac:dyDescent="0.25">
      <c r="N127" s="7"/>
      <c r="O127" s="7"/>
      <c r="P127" s="7">
        <v>99</v>
      </c>
      <c r="Q127" s="8" t="str">
        <f t="shared" si="4"/>
        <v/>
      </c>
      <c r="R127" s="8"/>
      <c r="S127" s="8" t="str">
        <f t="shared" si="7"/>
        <v/>
      </c>
      <c r="T127" s="8"/>
      <c r="U127" s="8" t="str">
        <f t="shared" si="5"/>
        <v/>
      </c>
      <c r="V127" s="8" t="str">
        <f t="shared" si="6"/>
        <v/>
      </c>
      <c r="W127" s="7"/>
      <c r="X127" s="7"/>
      <c r="Y127" s="7"/>
      <c r="Z127" s="7"/>
    </row>
    <row r="128" spans="14:26" hidden="1" x14ac:dyDescent="0.25">
      <c r="N128" s="7"/>
      <c r="O128" s="7"/>
      <c r="P128" s="7">
        <v>100</v>
      </c>
      <c r="Q128" s="8" t="str">
        <f t="shared" si="4"/>
        <v/>
      </c>
      <c r="R128" s="8"/>
      <c r="S128" s="8" t="str">
        <f t="shared" si="7"/>
        <v/>
      </c>
      <c r="T128" s="8"/>
      <c r="U128" s="8" t="str">
        <f t="shared" si="5"/>
        <v/>
      </c>
      <c r="V128" s="8" t="str">
        <f t="shared" si="6"/>
        <v/>
      </c>
      <c r="W128" s="7"/>
      <c r="X128" s="7"/>
      <c r="Y128" s="7"/>
      <c r="Z128" s="7"/>
    </row>
    <row r="129" spans="14:26" hidden="1" x14ac:dyDescent="0.25">
      <c r="N129" s="7"/>
      <c r="O129" s="7"/>
      <c r="P129" s="7">
        <v>101</v>
      </c>
      <c r="Q129" s="8" t="str">
        <f t="shared" si="4"/>
        <v/>
      </c>
      <c r="R129" s="8"/>
      <c r="S129" s="8" t="str">
        <f t="shared" si="7"/>
        <v/>
      </c>
      <c r="T129" s="8"/>
      <c r="U129" s="8" t="str">
        <f t="shared" si="5"/>
        <v/>
      </c>
      <c r="V129" s="8" t="str">
        <f t="shared" si="6"/>
        <v/>
      </c>
      <c r="W129" s="7"/>
      <c r="X129" s="7"/>
      <c r="Y129" s="7"/>
      <c r="Z129" s="7"/>
    </row>
    <row r="130" spans="14:26" hidden="1" x14ac:dyDescent="0.25">
      <c r="N130" s="7"/>
      <c r="O130" s="7"/>
      <c r="P130" s="7">
        <v>102</v>
      </c>
      <c r="Q130" s="8" t="str">
        <f t="shared" si="4"/>
        <v/>
      </c>
      <c r="R130" s="8"/>
      <c r="S130" s="8" t="str">
        <f t="shared" si="7"/>
        <v/>
      </c>
      <c r="T130" s="8"/>
      <c r="U130" s="8" t="str">
        <f t="shared" si="5"/>
        <v/>
      </c>
      <c r="V130" s="8" t="str">
        <f t="shared" si="6"/>
        <v/>
      </c>
      <c r="W130" s="7"/>
      <c r="X130" s="7"/>
      <c r="Y130" s="7"/>
      <c r="Z130" s="7"/>
    </row>
    <row r="131" spans="14:26" hidden="1" x14ac:dyDescent="0.25">
      <c r="N131" s="7"/>
      <c r="O131" s="7"/>
      <c r="P131" s="7">
        <v>103</v>
      </c>
      <c r="Q131" s="8" t="str">
        <f t="shared" si="4"/>
        <v/>
      </c>
      <c r="R131" s="8"/>
      <c r="S131" s="8" t="str">
        <f t="shared" si="7"/>
        <v/>
      </c>
      <c r="T131" s="8"/>
      <c r="U131" s="8" t="str">
        <f t="shared" si="5"/>
        <v/>
      </c>
      <c r="V131" s="8" t="str">
        <f t="shared" si="6"/>
        <v/>
      </c>
      <c r="W131" s="7"/>
      <c r="X131" s="7"/>
      <c r="Y131" s="7"/>
      <c r="Z131" s="7"/>
    </row>
    <row r="132" spans="14:26" hidden="1" x14ac:dyDescent="0.25">
      <c r="N132" s="7"/>
      <c r="O132" s="7"/>
      <c r="P132" s="7">
        <v>104</v>
      </c>
      <c r="Q132" s="8" t="str">
        <f t="shared" si="4"/>
        <v/>
      </c>
      <c r="R132" s="8"/>
      <c r="S132" s="8" t="str">
        <f t="shared" si="7"/>
        <v/>
      </c>
      <c r="T132" s="8"/>
      <c r="U132" s="8" t="str">
        <f t="shared" si="5"/>
        <v/>
      </c>
      <c r="V132" s="8" t="str">
        <f t="shared" si="6"/>
        <v/>
      </c>
      <c r="W132" s="7"/>
      <c r="X132" s="7"/>
      <c r="Y132" s="7"/>
      <c r="Z132" s="7"/>
    </row>
    <row r="133" spans="14:26" hidden="1" x14ac:dyDescent="0.25">
      <c r="N133" s="7"/>
      <c r="O133" s="7"/>
      <c r="P133" s="7">
        <v>105</v>
      </c>
      <c r="Q133" s="8" t="str">
        <f t="shared" si="4"/>
        <v/>
      </c>
      <c r="R133" s="8"/>
      <c r="S133" s="8" t="str">
        <f t="shared" si="7"/>
        <v/>
      </c>
      <c r="T133" s="8"/>
      <c r="U133" s="8" t="str">
        <f t="shared" si="5"/>
        <v/>
      </c>
      <c r="V133" s="8" t="str">
        <f t="shared" si="6"/>
        <v/>
      </c>
      <c r="W133" s="7"/>
      <c r="X133" s="7"/>
      <c r="Y133" s="7"/>
      <c r="Z133" s="7"/>
    </row>
    <row r="134" spans="14:26" hidden="1" x14ac:dyDescent="0.25">
      <c r="N134" s="7"/>
      <c r="O134" s="7"/>
      <c r="P134" s="7">
        <v>106</v>
      </c>
      <c r="Q134" s="8" t="str">
        <f t="shared" si="4"/>
        <v/>
      </c>
      <c r="R134" s="8"/>
      <c r="S134" s="8" t="str">
        <f t="shared" si="7"/>
        <v/>
      </c>
      <c r="T134" s="8"/>
      <c r="U134" s="8" t="str">
        <f t="shared" si="5"/>
        <v/>
      </c>
      <c r="V134" s="8" t="str">
        <f t="shared" si="6"/>
        <v/>
      </c>
      <c r="W134" s="7"/>
      <c r="X134" s="7"/>
      <c r="Y134" s="7"/>
      <c r="Z134" s="7"/>
    </row>
    <row r="135" spans="14:26" hidden="1" x14ac:dyDescent="0.25">
      <c r="N135" s="7"/>
      <c r="O135" s="7"/>
      <c r="P135" s="7">
        <v>107</v>
      </c>
      <c r="Q135" s="8" t="str">
        <f t="shared" si="4"/>
        <v/>
      </c>
      <c r="R135" s="8"/>
      <c r="S135" s="8" t="str">
        <f t="shared" si="7"/>
        <v/>
      </c>
      <c r="T135" s="8"/>
      <c r="U135" s="8" t="str">
        <f t="shared" si="5"/>
        <v/>
      </c>
      <c r="V135" s="8" t="str">
        <f t="shared" si="6"/>
        <v/>
      </c>
      <c r="W135" s="7"/>
      <c r="X135" s="7"/>
      <c r="Y135" s="7"/>
      <c r="Z135" s="7"/>
    </row>
    <row r="136" spans="14:26" hidden="1" x14ac:dyDescent="0.25">
      <c r="N136" s="7"/>
      <c r="O136" s="7"/>
      <c r="P136" s="7">
        <v>108</v>
      </c>
      <c r="Q136" s="8" t="str">
        <f t="shared" si="4"/>
        <v/>
      </c>
      <c r="R136" s="8"/>
      <c r="S136" s="8" t="str">
        <f t="shared" si="7"/>
        <v/>
      </c>
      <c r="T136" s="8"/>
      <c r="U136" s="8" t="str">
        <f t="shared" si="5"/>
        <v/>
      </c>
      <c r="V136" s="8" t="str">
        <f t="shared" si="6"/>
        <v/>
      </c>
      <c r="W136" s="7"/>
      <c r="X136" s="7"/>
      <c r="Y136" s="7"/>
      <c r="Z136" s="7"/>
    </row>
    <row r="137" spans="14:26" hidden="1" x14ac:dyDescent="0.25">
      <c r="N137" s="7"/>
      <c r="O137" s="7"/>
      <c r="P137" s="7">
        <v>109</v>
      </c>
      <c r="Q137" s="8" t="str">
        <f t="shared" si="4"/>
        <v/>
      </c>
      <c r="R137" s="8"/>
      <c r="S137" s="8" t="str">
        <f t="shared" si="7"/>
        <v/>
      </c>
      <c r="T137" s="8"/>
      <c r="U137" s="8" t="str">
        <f t="shared" si="5"/>
        <v/>
      </c>
      <c r="V137" s="8" t="str">
        <f t="shared" si="6"/>
        <v/>
      </c>
      <c r="W137" s="7"/>
      <c r="X137" s="7"/>
      <c r="Y137" s="7"/>
      <c r="Z137" s="7"/>
    </row>
    <row r="138" spans="14:26" hidden="1" x14ac:dyDescent="0.25">
      <c r="N138" s="7"/>
      <c r="O138" s="7"/>
      <c r="P138" s="7">
        <v>110</v>
      </c>
      <c r="Q138" s="8" t="str">
        <f t="shared" si="4"/>
        <v/>
      </c>
      <c r="R138" s="8"/>
      <c r="S138" s="8" t="str">
        <f t="shared" si="7"/>
        <v/>
      </c>
      <c r="T138" s="8"/>
      <c r="U138" s="8" t="str">
        <f t="shared" si="5"/>
        <v/>
      </c>
      <c r="V138" s="8" t="str">
        <f t="shared" si="6"/>
        <v/>
      </c>
      <c r="W138" s="7"/>
      <c r="X138" s="7"/>
      <c r="Y138" s="7"/>
      <c r="Z138" s="7"/>
    </row>
    <row r="139" spans="14:26" hidden="1" x14ac:dyDescent="0.25">
      <c r="N139" s="7"/>
      <c r="O139" s="7"/>
      <c r="P139" s="7">
        <v>111</v>
      </c>
      <c r="Q139" s="8" t="str">
        <f t="shared" si="4"/>
        <v/>
      </c>
      <c r="R139" s="8"/>
      <c r="S139" s="8" t="str">
        <f t="shared" si="7"/>
        <v/>
      </c>
      <c r="T139" s="8"/>
      <c r="U139" s="8" t="str">
        <f t="shared" si="5"/>
        <v/>
      </c>
      <c r="V139" s="8" t="str">
        <f t="shared" si="6"/>
        <v/>
      </c>
      <c r="W139" s="7"/>
      <c r="X139" s="7"/>
      <c r="Y139" s="7"/>
      <c r="Z139" s="7"/>
    </row>
    <row r="140" spans="14:26" hidden="1" x14ac:dyDescent="0.25">
      <c r="N140" s="7"/>
      <c r="O140" s="7"/>
      <c r="P140" s="7">
        <v>112</v>
      </c>
      <c r="Q140" s="8" t="str">
        <f t="shared" si="4"/>
        <v/>
      </c>
      <c r="R140" s="8"/>
      <c r="S140" s="8" t="str">
        <f t="shared" si="7"/>
        <v/>
      </c>
      <c r="T140" s="8"/>
      <c r="U140" s="8" t="str">
        <f t="shared" si="5"/>
        <v/>
      </c>
      <c r="V140" s="8" t="str">
        <f t="shared" si="6"/>
        <v/>
      </c>
      <c r="W140" s="7"/>
      <c r="X140" s="7"/>
      <c r="Y140" s="7"/>
      <c r="Z140" s="7"/>
    </row>
    <row r="141" spans="14:26" hidden="1" x14ac:dyDescent="0.25">
      <c r="N141" s="7"/>
      <c r="O141" s="7"/>
      <c r="P141" s="7">
        <v>113</v>
      </c>
      <c r="Q141" s="8" t="str">
        <f t="shared" si="4"/>
        <v/>
      </c>
      <c r="R141" s="8"/>
      <c r="S141" s="8" t="str">
        <f t="shared" si="7"/>
        <v/>
      </c>
      <c r="T141" s="8"/>
      <c r="U141" s="8" t="str">
        <f t="shared" si="5"/>
        <v/>
      </c>
      <c r="V141" s="8" t="str">
        <f t="shared" si="6"/>
        <v/>
      </c>
      <c r="W141" s="7"/>
      <c r="X141" s="7"/>
      <c r="Y141" s="7"/>
      <c r="Z141" s="7"/>
    </row>
    <row r="142" spans="14:26" hidden="1" x14ac:dyDescent="0.25">
      <c r="N142" s="7"/>
      <c r="O142" s="7"/>
      <c r="P142" s="7">
        <v>114</v>
      </c>
      <c r="Q142" s="8" t="str">
        <f t="shared" si="4"/>
        <v/>
      </c>
      <c r="R142" s="8"/>
      <c r="S142" s="8" t="str">
        <f t="shared" si="7"/>
        <v/>
      </c>
      <c r="T142" s="8"/>
      <c r="U142" s="8" t="str">
        <f t="shared" si="5"/>
        <v/>
      </c>
      <c r="V142" s="8" t="str">
        <f t="shared" si="6"/>
        <v/>
      </c>
      <c r="W142" s="7"/>
      <c r="X142" s="7"/>
      <c r="Y142" s="7"/>
      <c r="Z142" s="7"/>
    </row>
    <row r="143" spans="14:26" hidden="1" x14ac:dyDescent="0.25">
      <c r="N143" s="7"/>
      <c r="O143" s="7"/>
      <c r="P143" s="7">
        <v>115</v>
      </c>
      <c r="Q143" s="8" t="str">
        <f t="shared" si="4"/>
        <v/>
      </c>
      <c r="R143" s="8"/>
      <c r="S143" s="8" t="str">
        <f t="shared" si="7"/>
        <v/>
      </c>
      <c r="T143" s="8"/>
      <c r="U143" s="8" t="str">
        <f t="shared" si="5"/>
        <v/>
      </c>
      <c r="V143" s="8" t="str">
        <f t="shared" si="6"/>
        <v/>
      </c>
      <c r="W143" s="7"/>
      <c r="X143" s="7"/>
      <c r="Y143" s="7"/>
      <c r="Z143" s="7"/>
    </row>
    <row r="144" spans="14:26" hidden="1" x14ac:dyDescent="0.25">
      <c r="N144" s="7"/>
      <c r="O144" s="7"/>
      <c r="P144" s="7">
        <v>116</v>
      </c>
      <c r="Q144" s="8" t="str">
        <f t="shared" si="4"/>
        <v/>
      </c>
      <c r="R144" s="8"/>
      <c r="S144" s="8" t="str">
        <f t="shared" si="7"/>
        <v/>
      </c>
      <c r="T144" s="8"/>
      <c r="U144" s="8" t="str">
        <f t="shared" si="5"/>
        <v/>
      </c>
      <c r="V144" s="8" t="str">
        <f t="shared" si="6"/>
        <v/>
      </c>
      <c r="W144" s="7"/>
      <c r="X144" s="7"/>
      <c r="Y144" s="7"/>
      <c r="Z144" s="7"/>
    </row>
    <row r="145" spans="14:26" hidden="1" x14ac:dyDescent="0.25">
      <c r="N145" s="7"/>
      <c r="O145" s="7"/>
      <c r="P145" s="7">
        <v>117</v>
      </c>
      <c r="Q145" s="8" t="str">
        <f t="shared" si="4"/>
        <v/>
      </c>
      <c r="R145" s="8"/>
      <c r="S145" s="8" t="str">
        <f t="shared" si="7"/>
        <v/>
      </c>
      <c r="T145" s="8"/>
      <c r="U145" s="8" t="str">
        <f t="shared" si="5"/>
        <v/>
      </c>
      <c r="V145" s="8" t="str">
        <f t="shared" si="6"/>
        <v/>
      </c>
      <c r="W145" s="7"/>
      <c r="X145" s="7"/>
      <c r="Y145" s="7"/>
      <c r="Z145" s="7"/>
    </row>
    <row r="146" spans="14:26" hidden="1" x14ac:dyDescent="0.25">
      <c r="N146" s="7"/>
      <c r="O146" s="7"/>
      <c r="P146" s="7">
        <v>118</v>
      </c>
      <c r="Q146" s="8" t="str">
        <f t="shared" si="4"/>
        <v/>
      </c>
      <c r="R146" s="8"/>
      <c r="S146" s="8" t="str">
        <f t="shared" si="7"/>
        <v/>
      </c>
      <c r="T146" s="8"/>
      <c r="U146" s="8" t="str">
        <f t="shared" si="5"/>
        <v/>
      </c>
      <c r="V146" s="8" t="str">
        <f t="shared" si="6"/>
        <v/>
      </c>
      <c r="W146" s="7"/>
      <c r="X146" s="7"/>
      <c r="Y146" s="7"/>
      <c r="Z146" s="7"/>
    </row>
    <row r="147" spans="14:26" hidden="1" x14ac:dyDescent="0.25">
      <c r="N147" s="7"/>
      <c r="O147" s="7"/>
      <c r="P147" s="7">
        <v>119</v>
      </c>
      <c r="Q147" s="8" t="str">
        <f t="shared" si="4"/>
        <v/>
      </c>
      <c r="R147" s="8"/>
      <c r="S147" s="8" t="str">
        <f t="shared" si="7"/>
        <v/>
      </c>
      <c r="T147" s="8"/>
      <c r="U147" s="8" t="str">
        <f t="shared" si="5"/>
        <v/>
      </c>
      <c r="V147" s="8" t="str">
        <f t="shared" si="6"/>
        <v/>
      </c>
      <c r="W147" s="7"/>
      <c r="X147" s="7"/>
      <c r="Y147" s="7"/>
      <c r="Z147" s="7"/>
    </row>
    <row r="148" spans="14:26" hidden="1" x14ac:dyDescent="0.25">
      <c r="N148" s="7"/>
      <c r="O148" s="7"/>
      <c r="P148" s="7">
        <v>120</v>
      </c>
      <c r="Q148" s="8" t="str">
        <f t="shared" si="4"/>
        <v/>
      </c>
      <c r="R148" s="8"/>
      <c r="S148" s="8" t="str">
        <f t="shared" si="7"/>
        <v/>
      </c>
      <c r="T148" s="8"/>
      <c r="U148" s="8" t="str">
        <f t="shared" si="5"/>
        <v/>
      </c>
      <c r="V148" s="8" t="str">
        <f t="shared" si="6"/>
        <v/>
      </c>
      <c r="W148" s="7"/>
      <c r="X148" s="7"/>
      <c r="Y148" s="7"/>
      <c r="Z148" s="7"/>
    </row>
    <row r="149" spans="14:26" hidden="1" x14ac:dyDescent="0.25"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4:26" hidden="1" x14ac:dyDescent="0.25"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4:26" hidden="1" x14ac:dyDescent="0.25"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4:26" hidden="1" x14ac:dyDescent="0.25"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4:26" hidden="1" x14ac:dyDescent="0.25"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4:26" hidden="1" x14ac:dyDescent="0.25"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4:26" hidden="1" x14ac:dyDescent="0.25"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4:26" hidden="1" x14ac:dyDescent="0.25"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4:26" hidden="1" x14ac:dyDescent="0.25"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4:26" hidden="1" x14ac:dyDescent="0.25"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4:26" hidden="1" x14ac:dyDescent="0.25"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4:26" hidden="1" x14ac:dyDescent="0.25"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4:26" hidden="1" x14ac:dyDescent="0.25"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4:26" hidden="1" x14ac:dyDescent="0.25"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4:26" hidden="1" x14ac:dyDescent="0.25"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4:26" hidden="1" x14ac:dyDescent="0.25"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4:26" hidden="1" x14ac:dyDescent="0.25"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4:26" hidden="1" x14ac:dyDescent="0.25"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4:26" hidden="1" x14ac:dyDescent="0.25"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4:26" hidden="1" x14ac:dyDescent="0.25"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4:26" hidden="1" x14ac:dyDescent="0.25"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4:26" hidden="1" x14ac:dyDescent="0.25"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4:26" hidden="1" x14ac:dyDescent="0.25"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4:26" hidden="1" x14ac:dyDescent="0.25"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4:26" hidden="1" x14ac:dyDescent="0.25"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4:26" hidden="1" x14ac:dyDescent="0.25"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4:26" hidden="1" x14ac:dyDescent="0.25"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4:26" hidden="1" x14ac:dyDescent="0.25"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4:26" hidden="1" x14ac:dyDescent="0.25"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4:26" hidden="1" x14ac:dyDescent="0.25"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4:26" hidden="1" x14ac:dyDescent="0.25"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4:26" hidden="1" x14ac:dyDescent="0.25"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4:26" hidden="1" x14ac:dyDescent="0.25"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4:26" hidden="1" x14ac:dyDescent="0.25"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4:26" hidden="1" x14ac:dyDescent="0.25"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4:26" hidden="1" x14ac:dyDescent="0.25"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4:26" hidden="1" x14ac:dyDescent="0.25"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4:26" hidden="1" x14ac:dyDescent="0.25"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4:26" hidden="1" x14ac:dyDescent="0.25"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4:26" hidden="1" x14ac:dyDescent="0.25"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4:26" hidden="1" x14ac:dyDescent="0.25"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4:26" hidden="1" x14ac:dyDescent="0.25"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4:26" hidden="1" x14ac:dyDescent="0.25"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4:26" hidden="1" x14ac:dyDescent="0.25"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4:26" hidden="1" x14ac:dyDescent="0.25"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4:26" hidden="1" x14ac:dyDescent="0.25"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4:26" hidden="1" x14ac:dyDescent="0.25"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4:26" hidden="1" x14ac:dyDescent="0.25"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4:26" hidden="1" x14ac:dyDescent="0.25"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4:26" hidden="1" x14ac:dyDescent="0.25"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4:26" hidden="1" x14ac:dyDescent="0.25"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4:26" hidden="1" x14ac:dyDescent="0.25"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4:26" hidden="1" x14ac:dyDescent="0.25"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4:26" hidden="1" x14ac:dyDescent="0.25"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4:26" hidden="1" x14ac:dyDescent="0.25"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4:26" hidden="1" x14ac:dyDescent="0.25"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4:26" hidden="1" x14ac:dyDescent="0.25"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4:26" hidden="1" x14ac:dyDescent="0.25"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4:26" hidden="1" x14ac:dyDescent="0.25"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4:26" hidden="1" x14ac:dyDescent="0.25"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4:26" hidden="1" x14ac:dyDescent="0.25"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4:26" hidden="1" x14ac:dyDescent="0.25"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4:26" hidden="1" x14ac:dyDescent="0.25"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4:26" hidden="1" x14ac:dyDescent="0.25"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4:26" hidden="1" x14ac:dyDescent="0.25"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4:26" hidden="1" x14ac:dyDescent="0.25"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4:26" hidden="1" x14ac:dyDescent="0.25"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4:26" hidden="1" x14ac:dyDescent="0.25"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4:26" hidden="1" x14ac:dyDescent="0.25"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4:26" hidden="1" x14ac:dyDescent="0.25"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4:26" hidden="1" x14ac:dyDescent="0.25"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4:26" hidden="1" x14ac:dyDescent="0.25"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4:26" hidden="1" x14ac:dyDescent="0.25"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4:26" hidden="1" x14ac:dyDescent="0.25"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4:26" hidden="1" x14ac:dyDescent="0.25"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4:26" hidden="1" x14ac:dyDescent="0.25"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4:26" hidden="1" x14ac:dyDescent="0.25"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4:26" hidden="1" x14ac:dyDescent="0.25"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4:26" hidden="1" x14ac:dyDescent="0.25"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4:26" hidden="1" x14ac:dyDescent="0.25"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4:26" hidden="1" x14ac:dyDescent="0.25"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</sheetData>
  <sheetProtection algorithmName="SHA-512" hashValue="YOId1N0JbGq08bULTD2mdu7p+5T1A67KWKClLUB3VPHtXlOfp2FsL5SbTUijZtsNHl3QWj+G6u6b3/yp6nFY+A==" saltValue="9jlCAg8KPmaTKxnbFShK7A==" spinCount="100000" sheet="1" objects="1" scenarios="1" selectLockedCells="1"/>
  <mergeCells count="17">
    <mergeCell ref="D28:E28"/>
    <mergeCell ref="F28:G28"/>
    <mergeCell ref="F30:G30"/>
    <mergeCell ref="F31:G31"/>
    <mergeCell ref="D30:E30"/>
    <mergeCell ref="D31:E31"/>
    <mergeCell ref="F29:G29"/>
    <mergeCell ref="D29:E29"/>
    <mergeCell ref="D25:F25"/>
    <mergeCell ref="D27:E27"/>
    <mergeCell ref="F27:G27"/>
    <mergeCell ref="D26:F26"/>
    <mergeCell ref="D19:F19"/>
    <mergeCell ref="D20:F20"/>
    <mergeCell ref="D21:G21"/>
    <mergeCell ref="D22:F22"/>
    <mergeCell ref="D23:F2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8</xdr:row>
                    <xdr:rowOff>142875</xdr:rowOff>
                  </from>
                  <to>
                    <xdr:col>2</xdr:col>
                    <xdr:colOff>285750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locked="0" defaultSize="0" autoFill="0" autoLine="0" autoPict="0">
                <anchor moveWithCells="1">
                  <from>
                    <xdr:col>0</xdr:col>
                    <xdr:colOff>142875</xdr:colOff>
                    <xdr:row>9</xdr:row>
                    <xdr:rowOff>190500</xdr:rowOff>
                  </from>
                  <to>
                    <xdr:col>1</xdr:col>
                    <xdr:colOff>542925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locked="0" defaultSize="0" autoFill="0" autoLine="0" autoPict="0">
                <anchor moveWithCells="1">
                  <from>
                    <xdr:col>0</xdr:col>
                    <xdr:colOff>142875</xdr:colOff>
                    <xdr:row>11</xdr:row>
                    <xdr:rowOff>47625</xdr:rowOff>
                  </from>
                  <to>
                    <xdr:col>2</xdr:col>
                    <xdr:colOff>219075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locked="0" defaultSize="0" autoFill="0" autoLine="0" autoPict="0">
                <anchor moveWithCells="1">
                  <from>
                    <xdr:col>0</xdr:col>
                    <xdr:colOff>133350</xdr:colOff>
                    <xdr:row>12</xdr:row>
                    <xdr:rowOff>114300</xdr:rowOff>
                  </from>
                  <to>
                    <xdr:col>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Group Box 7">
              <controlPr defaultSize="0" autoFill="0" autoPict="0">
                <anchor moveWithCells="1">
                  <from>
                    <xdr:col>0</xdr:col>
                    <xdr:colOff>66675</xdr:colOff>
                    <xdr:row>7</xdr:row>
                    <xdr:rowOff>133350</xdr:rowOff>
                  </from>
                  <to>
                    <xdr:col>2</xdr:col>
                    <xdr:colOff>428625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Option Button 13">
              <controlPr locked="0" defaultSize="0" autoFill="0" autoLine="0" autoPict="0">
                <anchor moveWithCells="1">
                  <from>
                    <xdr:col>7</xdr:col>
                    <xdr:colOff>295275</xdr:colOff>
                    <xdr:row>12</xdr:row>
                    <xdr:rowOff>66675</xdr:rowOff>
                  </from>
                  <to>
                    <xdr:col>8</xdr:col>
                    <xdr:colOff>219075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Option Button 14">
              <controlPr locked="0"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76200</xdr:rowOff>
                  </from>
                  <to>
                    <xdr:col>8</xdr:col>
                    <xdr:colOff>219075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Group Box 15">
              <controlPr defaultSize="0" autoFill="0" autoPict="0">
                <anchor moveWithCells="1">
                  <from>
                    <xdr:col>7</xdr:col>
                    <xdr:colOff>238125</xdr:colOff>
                    <xdr:row>11</xdr:row>
                    <xdr:rowOff>171450</xdr:rowOff>
                  </from>
                  <to>
                    <xdr:col>8</xdr:col>
                    <xdr:colOff>571500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 Box 16">
              <controlPr locked="0" defaultSize="0" autoFill="0" autoLine="0" autoPict="0">
                <anchor moveWithCells="1">
                  <from>
                    <xdr:col>0</xdr:col>
                    <xdr:colOff>257175</xdr:colOff>
                    <xdr:row>19</xdr:row>
                    <xdr:rowOff>104775</xdr:rowOff>
                  </from>
                  <to>
                    <xdr:col>2</xdr:col>
                    <xdr:colOff>190500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 Box 17">
              <controlPr locked="0" defaultSize="0" autoFill="0" autoLine="0" autoPict="0">
                <anchor moveWithCells="1">
                  <from>
                    <xdr:col>0</xdr:col>
                    <xdr:colOff>257175</xdr:colOff>
                    <xdr:row>20</xdr:row>
                    <xdr:rowOff>85725</xdr:rowOff>
                  </from>
                  <to>
                    <xdr:col>2</xdr:col>
                    <xdr:colOff>133350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 Box 18">
              <controlPr locked="0" defaultSize="0" autoFill="0" autoLine="0" autoPict="0">
                <anchor moveWithCells="1">
                  <from>
                    <xdr:col>0</xdr:col>
                    <xdr:colOff>257175</xdr:colOff>
                    <xdr:row>21</xdr:row>
                    <xdr:rowOff>57150</xdr:rowOff>
                  </from>
                  <to>
                    <xdr:col>2</xdr:col>
                    <xdr:colOff>295275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locked="0"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104775</xdr:rowOff>
                  </from>
                  <to>
                    <xdr:col>2</xdr:col>
                    <xdr:colOff>400050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locked="0" defaultSize="0" autoFill="0" autoLine="0" autoPict="0">
                <anchor moveWithCells="1">
                  <from>
                    <xdr:col>0</xdr:col>
                    <xdr:colOff>257175</xdr:colOff>
                    <xdr:row>23</xdr:row>
                    <xdr:rowOff>76200</xdr:rowOff>
                  </from>
                  <to>
                    <xdr:col>2</xdr:col>
                    <xdr:colOff>428625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Group Box 23">
              <controlPr defaultSize="0" autoFill="0" autoPict="0">
                <anchor moveWithCells="1">
                  <from>
                    <xdr:col>0</xdr:col>
                    <xdr:colOff>171450</xdr:colOff>
                    <xdr:row>18</xdr:row>
                    <xdr:rowOff>180975</xdr:rowOff>
                  </from>
                  <to>
                    <xdr:col>2</xdr:col>
                    <xdr:colOff>457200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Drop Down 26">
              <controlPr locked="0" defaultSize="0" autoLine="0" autoPict="0">
                <anchor moveWithCells="1">
                  <from>
                    <xdr:col>7</xdr:col>
                    <xdr:colOff>257175</xdr:colOff>
                    <xdr:row>17</xdr:row>
                    <xdr:rowOff>38100</xdr:rowOff>
                  </from>
                  <to>
                    <xdr:col>9</xdr:col>
                    <xdr:colOff>666750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Group Box 27">
              <controlPr defaultSize="0" autoFill="0" autoPict="0">
                <anchor mov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9</xdr:col>
                    <xdr:colOff>733425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0" name="Button 43">
              <controlPr locked="0" defaultSize="0" print="0" autoFill="0" autoPict="0" macro="[0]!Przejscie">
                <anchor moveWithCells="1">
                  <from>
                    <xdr:col>4</xdr:col>
                    <xdr:colOff>0</xdr:colOff>
                    <xdr:row>26</xdr:row>
                    <xdr:rowOff>47625</xdr:rowOff>
                  </from>
                  <to>
                    <xdr:col>6</xdr:col>
                    <xdr:colOff>228600</xdr:colOff>
                    <xdr:row>28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1" name="Option Button 52">
              <controlPr locked="0" defaultSize="0" autoFill="0" autoLine="0" autoPict="0">
                <anchor moveWithCells="1">
                  <from>
                    <xdr:col>0</xdr:col>
                    <xdr:colOff>142875</xdr:colOff>
                    <xdr:row>13</xdr:row>
                    <xdr:rowOff>171450</xdr:rowOff>
                  </from>
                  <to>
                    <xdr:col>2</xdr:col>
                    <xdr:colOff>323850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2" name="Option Button 56">
              <controlPr locked="0" defaultSize="0" autoFill="0" autoLine="0" autoPict="0">
                <anchor moveWithCells="1">
                  <from>
                    <xdr:col>0</xdr:col>
                    <xdr:colOff>142875</xdr:colOff>
                    <xdr:row>15</xdr:row>
                    <xdr:rowOff>28575</xdr:rowOff>
                  </from>
                  <to>
                    <xdr:col>2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3" name="Scroll Bar 65">
              <controlPr locked="0" defaultSize="0" autoPict="0">
                <anchor moveWithCells="1">
                  <from>
                    <xdr:col>3</xdr:col>
                    <xdr:colOff>9525</xdr:colOff>
                    <xdr:row>23</xdr:row>
                    <xdr:rowOff>0</xdr:rowOff>
                  </from>
                  <to>
                    <xdr:col>6</xdr:col>
                    <xdr:colOff>1123950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4" name="Option Button 79">
              <controlPr locked="0" defaultSize="0" autoFill="0" autoLine="0" autoPict="0">
                <anchor moveWithCells="1">
                  <from>
                    <xdr:col>7</xdr:col>
                    <xdr:colOff>295275</xdr:colOff>
                    <xdr:row>21</xdr:row>
                    <xdr:rowOff>85725</xdr:rowOff>
                  </from>
                  <to>
                    <xdr:col>8</xdr:col>
                    <xdr:colOff>323850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5" name="Option Button 80">
              <controlPr locked="0" defaultSize="0" autoFill="0" autoLine="0" autoPict="0">
                <anchor moveWithCells="1">
                  <from>
                    <xdr:col>7</xdr:col>
                    <xdr:colOff>285750</xdr:colOff>
                    <xdr:row>22</xdr:row>
                    <xdr:rowOff>142875</xdr:rowOff>
                  </from>
                  <to>
                    <xdr:col>8</xdr:col>
                    <xdr:colOff>314325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6" name="Group Box 82">
              <controlPr defaultSize="0" autoFill="0" autoPict="0">
                <anchor moveWithCells="1">
                  <from>
                    <xdr:col>7</xdr:col>
                    <xdr:colOff>171450</xdr:colOff>
                    <xdr:row>20</xdr:row>
                    <xdr:rowOff>161925</xdr:rowOff>
                  </from>
                  <to>
                    <xdr:col>8</xdr:col>
                    <xdr:colOff>409575</xdr:colOff>
                    <xdr:row>24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5500B-BFF1-438D-B93E-B3934887E612}">
  <sheetPr codeName="Arkusz3"/>
  <dimension ref="A1:D7"/>
  <sheetViews>
    <sheetView zoomScale="85" zoomScaleNormal="85" workbookViewId="0">
      <selection activeCell="D1" sqref="D1"/>
    </sheetView>
  </sheetViews>
  <sheetFormatPr defaultRowHeight="15" x14ac:dyDescent="0.25"/>
  <cols>
    <col min="2" max="2" width="23.28515625" bestFit="1" customWidth="1"/>
    <col min="3" max="3" width="49" customWidth="1"/>
  </cols>
  <sheetData>
    <row r="1" spans="1:4" ht="168.75" customHeight="1" x14ac:dyDescent="0.25">
      <c r="A1">
        <v>1</v>
      </c>
      <c r="B1" t="s">
        <v>0</v>
      </c>
      <c r="D1">
        <f>INDEX($A$1:$C$6,MATCH('Salon BMW'!O9,zdjęcia!B1:B6,0),3)</f>
        <v>0</v>
      </c>
    </row>
    <row r="2" spans="1:4" ht="168.75" customHeight="1" x14ac:dyDescent="0.25">
      <c r="A2">
        <v>2</v>
      </c>
      <c r="B2" s="7" t="s">
        <v>1</v>
      </c>
    </row>
    <row r="3" spans="1:4" ht="168.75" customHeight="1" x14ac:dyDescent="0.25">
      <c r="A3">
        <v>3</v>
      </c>
      <c r="B3" s="7" t="s">
        <v>3</v>
      </c>
    </row>
    <row r="4" spans="1:4" ht="168.75" customHeight="1" x14ac:dyDescent="0.25">
      <c r="A4">
        <v>4</v>
      </c>
      <c r="B4" s="7" t="s">
        <v>2</v>
      </c>
    </row>
    <row r="5" spans="1:4" ht="168.75" customHeight="1" x14ac:dyDescent="0.25">
      <c r="A5">
        <v>5</v>
      </c>
      <c r="B5" s="7" t="s">
        <v>47</v>
      </c>
    </row>
    <row r="6" spans="1:4" ht="168.75" customHeight="1" x14ac:dyDescent="0.25">
      <c r="A6">
        <v>6</v>
      </c>
      <c r="B6" s="7" t="s">
        <v>46</v>
      </c>
    </row>
    <row r="7" spans="1:4" ht="15" customHeight="1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9DC34-C6B0-4B52-96AF-9B5160F5D380}">
  <sheetPr codeName="Arkusz2"/>
  <dimension ref="A3:S40"/>
  <sheetViews>
    <sheetView topLeftCell="A3" zoomScale="85" zoomScaleNormal="85" workbookViewId="0">
      <selection activeCell="A14" sqref="A14:F14"/>
    </sheetView>
  </sheetViews>
  <sheetFormatPr defaultColWidth="0" defaultRowHeight="15" zeroHeight="1" x14ac:dyDescent="0.25"/>
  <cols>
    <col min="1" max="8" width="9.140625" customWidth="1"/>
    <col min="9" max="9" width="10.42578125" customWidth="1"/>
    <col min="10" max="10" width="11.140625" customWidth="1"/>
    <col min="11" max="12" width="9.140625" customWidth="1"/>
    <col min="13" max="13" width="9.85546875" bestFit="1" customWidth="1"/>
    <col min="14" max="16" width="9.140625" hidden="1" customWidth="1"/>
    <col min="17" max="19" width="11.85546875" hidden="1" customWidth="1"/>
    <col min="20" max="16384" width="9.140625" hidden="1"/>
  </cols>
  <sheetData>
    <row r="3" spans="1:13" x14ac:dyDescent="0.25">
      <c r="A3" s="17"/>
      <c r="B3" s="17"/>
      <c r="C3" s="17"/>
      <c r="D3" s="17"/>
      <c r="E3" s="17"/>
      <c r="F3" s="17"/>
      <c r="G3" s="17"/>
      <c r="H3" s="61" t="s">
        <v>18</v>
      </c>
      <c r="I3" s="62"/>
      <c r="J3" s="62"/>
      <c r="K3" s="62"/>
      <c r="L3" s="62"/>
      <c r="M3" s="63"/>
    </row>
    <row r="4" spans="1:13" x14ac:dyDescent="0.25">
      <c r="A4" s="17"/>
      <c r="B4" s="17"/>
      <c r="C4" s="17"/>
      <c r="D4" s="17"/>
      <c r="E4" s="17"/>
      <c r="F4" s="17"/>
      <c r="G4" s="17"/>
      <c r="H4" s="60" t="s">
        <v>19</v>
      </c>
      <c r="I4" s="60"/>
      <c r="J4" s="60"/>
      <c r="K4" s="60"/>
      <c r="L4" s="60"/>
      <c r="M4" s="60"/>
    </row>
    <row r="5" spans="1:13" x14ac:dyDescent="0.25">
      <c r="A5" s="17"/>
      <c r="B5" s="17"/>
      <c r="C5" s="17"/>
      <c r="D5" s="17"/>
      <c r="E5" s="17"/>
      <c r="F5" s="17"/>
      <c r="G5" s="17"/>
      <c r="H5" s="61" t="s">
        <v>15</v>
      </c>
      <c r="I5" s="62"/>
      <c r="J5" s="62"/>
      <c r="K5" s="62"/>
      <c r="L5" s="62"/>
      <c r="M5" s="63"/>
    </row>
    <row r="6" spans="1:13" x14ac:dyDescent="0.25">
      <c r="A6" s="17"/>
      <c r="B6" s="17"/>
      <c r="C6" s="17"/>
      <c r="D6" s="17"/>
      <c r="E6" s="17"/>
      <c r="F6" s="17"/>
      <c r="G6" s="17"/>
      <c r="H6" s="59">
        <f ca="1">TODAY()</f>
        <v>44594</v>
      </c>
      <c r="I6" s="60"/>
      <c r="J6" s="60"/>
      <c r="K6" s="60"/>
      <c r="L6" s="60"/>
      <c r="M6" s="60"/>
    </row>
    <row r="7" spans="1:13" x14ac:dyDescent="0.25">
      <c r="A7" s="17"/>
      <c r="B7" s="17"/>
      <c r="C7" s="17"/>
      <c r="D7" s="17"/>
      <c r="E7" s="17"/>
      <c r="F7" s="17"/>
      <c r="G7" s="17"/>
      <c r="H7" s="61" t="s">
        <v>20</v>
      </c>
      <c r="I7" s="62"/>
      <c r="J7" s="62"/>
      <c r="K7" s="62"/>
      <c r="L7" s="62"/>
      <c r="M7" s="63"/>
    </row>
    <row r="8" spans="1:13" x14ac:dyDescent="0.25">
      <c r="A8" s="17"/>
      <c r="B8" s="17"/>
      <c r="C8" s="17"/>
      <c r="D8" s="17"/>
      <c r="E8" s="17"/>
      <c r="F8" s="17"/>
      <c r="G8" s="17"/>
      <c r="H8" s="59">
        <f ca="1">TODAY()</f>
        <v>44594</v>
      </c>
      <c r="I8" s="60"/>
      <c r="J8" s="60"/>
      <c r="K8" s="60"/>
      <c r="L8" s="60"/>
      <c r="M8" s="60"/>
    </row>
    <row r="9" spans="1:13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</row>
    <row r="10" spans="1:13" x14ac:dyDescent="0.25">
      <c r="A10" s="61" t="s">
        <v>17</v>
      </c>
      <c r="B10" s="62"/>
      <c r="C10" s="62"/>
      <c r="D10" s="62"/>
      <c r="E10" s="62"/>
      <c r="F10" s="63"/>
      <c r="G10" s="17"/>
      <c r="H10" s="61" t="s">
        <v>16</v>
      </c>
      <c r="I10" s="62"/>
      <c r="J10" s="62"/>
      <c r="K10" s="62"/>
      <c r="L10" s="62"/>
      <c r="M10" s="63"/>
    </row>
    <row r="11" spans="1:13" x14ac:dyDescent="0.25">
      <c r="A11" s="68" t="s">
        <v>21</v>
      </c>
      <c r="B11" s="69"/>
      <c r="C11" s="69"/>
      <c r="D11" s="69"/>
      <c r="E11" s="69"/>
      <c r="F11" s="70"/>
      <c r="G11" s="17"/>
      <c r="H11" s="65" t="s">
        <v>70</v>
      </c>
      <c r="I11" s="66"/>
      <c r="J11" s="66"/>
      <c r="K11" s="66"/>
      <c r="L11" s="66"/>
      <c r="M11" s="67"/>
    </row>
    <row r="12" spans="1:13" x14ac:dyDescent="0.25">
      <c r="A12" s="68" t="s">
        <v>22</v>
      </c>
      <c r="B12" s="69"/>
      <c r="C12" s="69"/>
      <c r="D12" s="69"/>
      <c r="E12" s="69"/>
      <c r="F12" s="70"/>
      <c r="G12" s="17"/>
      <c r="H12" s="65" t="s">
        <v>71</v>
      </c>
      <c r="I12" s="66"/>
      <c r="J12" s="66"/>
      <c r="K12" s="66"/>
      <c r="L12" s="66"/>
      <c r="M12" s="67"/>
    </row>
    <row r="13" spans="1:13" x14ac:dyDescent="0.25">
      <c r="A13" s="68" t="s">
        <v>23</v>
      </c>
      <c r="B13" s="69"/>
      <c r="C13" s="69"/>
      <c r="D13" s="69"/>
      <c r="E13" s="69"/>
      <c r="F13" s="70"/>
      <c r="G13" s="17"/>
      <c r="H13" s="65" t="s">
        <v>72</v>
      </c>
      <c r="I13" s="66"/>
      <c r="J13" s="66"/>
      <c r="K13" s="66"/>
      <c r="L13" s="66"/>
      <c r="M13" s="67"/>
    </row>
    <row r="14" spans="1:13" x14ac:dyDescent="0.25">
      <c r="A14" s="68">
        <v>1234567890</v>
      </c>
      <c r="B14" s="69"/>
      <c r="C14" s="69"/>
      <c r="D14" s="69"/>
      <c r="E14" s="69"/>
      <c r="F14" s="70"/>
      <c r="G14" s="17"/>
      <c r="H14" s="65">
        <v>40235234534</v>
      </c>
      <c r="I14" s="66"/>
      <c r="J14" s="66"/>
      <c r="K14" s="66"/>
      <c r="L14" s="66"/>
      <c r="M14" s="67"/>
    </row>
    <row r="15" spans="1:13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</row>
    <row r="16" spans="1:13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</row>
    <row r="17" spans="1:19" ht="33.75" customHeight="1" x14ac:dyDescent="0.5">
      <c r="A17" s="72" t="s">
        <v>24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</row>
    <row r="18" spans="1:19" ht="22.5" customHeight="1" x14ac:dyDescent="0.25">
      <c r="A18" s="14" t="s">
        <v>25</v>
      </c>
      <c r="B18" s="74" t="s">
        <v>26</v>
      </c>
      <c r="C18" s="74"/>
      <c r="D18" s="74"/>
      <c r="E18" s="74"/>
      <c r="F18" s="74" t="s">
        <v>27</v>
      </c>
      <c r="G18" s="74"/>
      <c r="H18" s="74" t="s">
        <v>29</v>
      </c>
      <c r="I18" s="74"/>
      <c r="J18" s="74" t="s">
        <v>28</v>
      </c>
      <c r="K18" s="74"/>
      <c r="L18" s="74" t="s">
        <v>30</v>
      </c>
      <c r="M18" s="74"/>
    </row>
    <row r="19" spans="1:19" x14ac:dyDescent="0.25">
      <c r="A19" s="15">
        <v>1</v>
      </c>
      <c r="B19" s="71" t="str">
        <f>'Salon BMW'!O9</f>
        <v>BMW serii 4 Coupé M</v>
      </c>
      <c r="C19" s="71"/>
      <c r="D19" s="71"/>
      <c r="E19" s="71"/>
      <c r="F19" s="64">
        <f>'Salon BMW'!P9</f>
        <v>422900</v>
      </c>
      <c r="G19" s="64"/>
      <c r="H19" s="75">
        <v>0.23</v>
      </c>
      <c r="I19" s="75"/>
      <c r="J19" s="64">
        <f>F19*H19</f>
        <v>97267</v>
      </c>
      <c r="K19" s="64"/>
      <c r="L19" s="64">
        <f>F19+J19</f>
        <v>520167</v>
      </c>
      <c r="M19" s="64"/>
    </row>
    <row r="20" spans="1:19" x14ac:dyDescent="0.25">
      <c r="A20" s="15">
        <v>2</v>
      </c>
      <c r="B20" s="71" t="str">
        <f>'Salon BMW'!R15</f>
        <v>Biały</v>
      </c>
      <c r="C20" s="71"/>
      <c r="D20" s="71"/>
      <c r="E20" s="71"/>
      <c r="F20" s="64">
        <f>'Salon BMW'!S15</f>
        <v>0</v>
      </c>
      <c r="G20" s="64"/>
      <c r="H20" s="75">
        <v>0.23</v>
      </c>
      <c r="I20" s="75"/>
      <c r="J20" s="64">
        <f t="shared" ref="J20" si="0">F20*H20</f>
        <v>0</v>
      </c>
      <c r="K20" s="64"/>
      <c r="L20" s="64">
        <f t="shared" ref="L20" si="1">F20+J20</f>
        <v>0</v>
      </c>
      <c r="M20" s="64"/>
    </row>
    <row r="21" spans="1:19" x14ac:dyDescent="0.25">
      <c r="A21" s="15">
        <v>3</v>
      </c>
      <c r="B21" s="71" t="str">
        <f>IF('Salon BMW'!N14,'Salon BMW'!O14,"-")</f>
        <v>-</v>
      </c>
      <c r="C21" s="71"/>
      <c r="D21" s="71"/>
      <c r="E21" s="71"/>
      <c r="F21" s="64" t="str">
        <f>IF('Salon BMW'!N14,'Salon BMW'!P14,"-")</f>
        <v>-</v>
      </c>
      <c r="G21" s="64"/>
      <c r="H21" s="75" t="str">
        <f>IF('Salon BMW'!N14,Faktura!R21,"-")</f>
        <v>-</v>
      </c>
      <c r="I21" s="75"/>
      <c r="J21" s="64" t="str">
        <f>IF('Salon BMW'!N14,Faktura!Q21,"-")</f>
        <v>-</v>
      </c>
      <c r="K21" s="64"/>
      <c r="L21" s="64" t="str">
        <f>IF('Salon BMW'!N14,Faktura!S21,"-")</f>
        <v>-</v>
      </c>
      <c r="M21" s="64"/>
      <c r="Q21" s="1" t="e">
        <f>F21*H21</f>
        <v>#VALUE!</v>
      </c>
      <c r="R21">
        <v>0.23</v>
      </c>
      <c r="S21" s="1" t="e">
        <f>F21+J21</f>
        <v>#VALUE!</v>
      </c>
    </row>
    <row r="22" spans="1:19" x14ac:dyDescent="0.25">
      <c r="A22" s="15">
        <v>4</v>
      </c>
      <c r="B22" s="71" t="str">
        <f>IF('Salon BMW'!N15,'Salon BMW'!O15,"-")</f>
        <v>-</v>
      </c>
      <c r="C22" s="71"/>
      <c r="D22" s="71"/>
      <c r="E22" s="71"/>
      <c r="F22" s="64" t="str">
        <f>IF('Salon BMW'!N15,'Salon BMW'!P15,"-")</f>
        <v>-</v>
      </c>
      <c r="G22" s="64"/>
      <c r="H22" s="75" t="str">
        <f>IF('Salon BMW'!N15,Faktura!R22,"-")</f>
        <v>-</v>
      </c>
      <c r="I22" s="75"/>
      <c r="J22" s="64" t="str">
        <f>IF('Salon BMW'!N15,Faktura!Q22,"-")</f>
        <v>-</v>
      </c>
      <c r="K22" s="64"/>
      <c r="L22" s="64" t="str">
        <f>IF('Salon BMW'!N15,Faktura!S22,"-")</f>
        <v>-</v>
      </c>
      <c r="M22" s="64"/>
      <c r="Q22" s="1" t="e">
        <f>F22*H22</f>
        <v>#VALUE!</v>
      </c>
      <c r="R22">
        <v>0.23</v>
      </c>
      <c r="S22" s="1" t="e">
        <f>F22+J22</f>
        <v>#VALUE!</v>
      </c>
    </row>
    <row r="23" spans="1:19" x14ac:dyDescent="0.25">
      <c r="A23" s="15">
        <v>5</v>
      </c>
      <c r="B23" s="71" t="str">
        <f>IF('Salon BMW'!N16,'Salon BMW'!O16,"-")</f>
        <v>-</v>
      </c>
      <c r="C23" s="71"/>
      <c r="D23" s="71"/>
      <c r="E23" s="71"/>
      <c r="F23" s="64" t="str">
        <f>IF('Salon BMW'!N16,'Salon BMW'!P16,"-")</f>
        <v>-</v>
      </c>
      <c r="G23" s="64"/>
      <c r="H23" s="75" t="str">
        <f>IF('Salon BMW'!N16,Faktura!R23,"-")</f>
        <v>-</v>
      </c>
      <c r="I23" s="75"/>
      <c r="J23" s="64" t="str">
        <f>IF('Salon BMW'!N16,Faktura!Q23,"-")</f>
        <v>-</v>
      </c>
      <c r="K23" s="64"/>
      <c r="L23" s="64" t="str">
        <f>IF('Salon BMW'!N16,Faktura!S23,"-")</f>
        <v>-</v>
      </c>
      <c r="M23" s="64"/>
      <c r="Q23" s="1" t="e">
        <f>F23*H23</f>
        <v>#VALUE!</v>
      </c>
      <c r="R23">
        <v>0.23</v>
      </c>
      <c r="S23" s="1" t="e">
        <f>F23+J23</f>
        <v>#VALUE!</v>
      </c>
    </row>
    <row r="24" spans="1:19" x14ac:dyDescent="0.25">
      <c r="A24" s="15">
        <v>6</v>
      </c>
      <c r="B24" s="71" t="str">
        <f>IF('Salon BMW'!N17,'Salon BMW'!O17,"-")</f>
        <v>-</v>
      </c>
      <c r="C24" s="71"/>
      <c r="D24" s="71"/>
      <c r="E24" s="71"/>
      <c r="F24" s="64" t="str">
        <f>IF('Salon BMW'!N17,'Salon BMW'!P17,"-")</f>
        <v>-</v>
      </c>
      <c r="G24" s="64"/>
      <c r="H24" s="75" t="str">
        <f>IF('Salon BMW'!N17,Faktura!R24,"-")</f>
        <v>-</v>
      </c>
      <c r="I24" s="75"/>
      <c r="J24" s="64" t="str">
        <f>IF('Salon BMW'!N17,Faktura!Q24,"-")</f>
        <v>-</v>
      </c>
      <c r="K24" s="64"/>
      <c r="L24" s="64" t="str">
        <f>IF('Salon BMW'!N17,Faktura!S24,"-")</f>
        <v>-</v>
      </c>
      <c r="M24" s="64"/>
      <c r="Q24" s="1" t="e">
        <f>F24*H24</f>
        <v>#VALUE!</v>
      </c>
      <c r="R24">
        <v>0.23</v>
      </c>
      <c r="S24" s="1" t="e">
        <f>F24+J24</f>
        <v>#VALUE!</v>
      </c>
    </row>
    <row r="25" spans="1:19" x14ac:dyDescent="0.25">
      <c r="A25" s="15">
        <v>7</v>
      </c>
      <c r="B25" s="71" t="str">
        <f>IF('Salon BMW'!N18,'Salon BMW'!O18,"-")</f>
        <v>-</v>
      </c>
      <c r="C25" s="71"/>
      <c r="D25" s="71"/>
      <c r="E25" s="71"/>
      <c r="F25" s="64" t="str">
        <f>IF('Salon BMW'!N18,'Salon BMW'!P18,"-")</f>
        <v>-</v>
      </c>
      <c r="G25" s="64"/>
      <c r="H25" s="75" t="str">
        <f>IF('Salon BMW'!N18,Faktura!R25,"-")</f>
        <v>-</v>
      </c>
      <c r="I25" s="75"/>
      <c r="J25" s="64" t="str">
        <f>IF('Salon BMW'!N18,Faktura!Q25,"-")</f>
        <v>-</v>
      </c>
      <c r="K25" s="64"/>
      <c r="L25" s="64" t="str">
        <f>IF('Salon BMW'!N18,Faktura!S25,"-")</f>
        <v>-</v>
      </c>
      <c r="M25" s="64"/>
      <c r="Q25" s="1" t="e">
        <f>F25*H25</f>
        <v>#VALUE!</v>
      </c>
      <c r="R25">
        <v>0.23</v>
      </c>
      <c r="S25" s="1" t="e">
        <f>F25+J25</f>
        <v>#VALUE!</v>
      </c>
    </row>
    <row r="26" spans="1:19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</row>
    <row r="27" spans="1:19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</row>
    <row r="28" spans="1:19" x14ac:dyDescent="0.25">
      <c r="A28" s="17"/>
      <c r="B28" s="17"/>
      <c r="C28" s="17"/>
      <c r="D28" s="17"/>
      <c r="E28" s="17"/>
      <c r="F28" s="76" t="s">
        <v>31</v>
      </c>
      <c r="G28" s="73"/>
      <c r="H28" s="73"/>
      <c r="I28" s="76" t="s">
        <v>32</v>
      </c>
      <c r="J28" s="73"/>
      <c r="K28" s="76" t="s">
        <v>33</v>
      </c>
      <c r="L28" s="73"/>
      <c r="M28" s="73"/>
    </row>
    <row r="29" spans="1:19" x14ac:dyDescent="0.25">
      <c r="A29" s="17"/>
      <c r="B29" s="17"/>
      <c r="C29" s="17"/>
      <c r="D29" s="17"/>
      <c r="E29" s="17"/>
      <c r="F29" s="64">
        <f>SUM(F19:G25)</f>
        <v>422900</v>
      </c>
      <c r="G29" s="71"/>
      <c r="H29" s="71"/>
      <c r="I29" s="64">
        <f>SUM(J19:K25)</f>
        <v>97267</v>
      </c>
      <c r="J29" s="64"/>
      <c r="K29" s="64">
        <f>SUM(L19:M25)</f>
        <v>520167</v>
      </c>
      <c r="L29" s="71"/>
      <c r="M29" s="71"/>
    </row>
    <row r="30" spans="1:19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R30" s="1">
        <f>I29*M33</f>
        <v>24316.75</v>
      </c>
      <c r="S30" t="str">
        <f>IF(L33="TAK",R30,"-")</f>
        <v>-</v>
      </c>
    </row>
    <row r="31" spans="1:19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R31" s="1">
        <f>I29*M34</f>
        <v>48633.5</v>
      </c>
      <c r="S31" t="str">
        <f t="shared" ref="S31:S32" si="2">IF(L34="TAK",R31,"-")</f>
        <v>-</v>
      </c>
    </row>
    <row r="32" spans="1:19" x14ac:dyDescent="0.25">
      <c r="A32" s="24"/>
      <c r="B32" s="25"/>
      <c r="C32" s="25"/>
      <c r="D32" s="17"/>
      <c r="E32" s="17"/>
      <c r="F32" s="17"/>
      <c r="G32" s="17"/>
      <c r="H32" s="17"/>
      <c r="I32" s="76" t="s">
        <v>35</v>
      </c>
      <c r="J32" s="73"/>
      <c r="K32" s="73"/>
      <c r="L32" s="13" t="s">
        <v>34</v>
      </c>
      <c r="M32" s="13" t="s">
        <v>36</v>
      </c>
      <c r="R32" s="1">
        <f>I29*M35</f>
        <v>72950.25</v>
      </c>
      <c r="S32">
        <f t="shared" si="2"/>
        <v>72950.25</v>
      </c>
    </row>
    <row r="33" spans="1:17" x14ac:dyDescent="0.25">
      <c r="A33" s="25"/>
      <c r="B33" s="25"/>
      <c r="C33" s="25"/>
      <c r="D33" s="17"/>
      <c r="E33" s="17"/>
      <c r="F33" s="17"/>
      <c r="G33" s="17"/>
      <c r="H33" s="17"/>
      <c r="I33" s="71" t="s">
        <v>40</v>
      </c>
      <c r="J33" s="71"/>
      <c r="K33" s="71"/>
      <c r="L33" s="3" t="str">
        <f>IF(AND($K$29&gt;=150000,$K$29&lt;300000),"TAK","NIE")</f>
        <v>NIE</v>
      </c>
      <c r="M33" s="4">
        <v>0.25</v>
      </c>
    </row>
    <row r="34" spans="1:17" x14ac:dyDescent="0.25">
      <c r="A34" s="17"/>
      <c r="B34" s="17"/>
      <c r="C34" s="17"/>
      <c r="D34" s="17"/>
      <c r="E34" s="17"/>
      <c r="F34" s="17"/>
      <c r="G34" s="17"/>
      <c r="H34" s="17"/>
      <c r="I34" s="71" t="s">
        <v>39</v>
      </c>
      <c r="J34" s="71"/>
      <c r="K34" s="71"/>
      <c r="L34" s="3" t="str">
        <f>IF(AND($K$29&gt;=300000,$K$29&lt;500000),"TAK","NIE")</f>
        <v>NIE</v>
      </c>
      <c r="M34" s="4">
        <v>0.5</v>
      </c>
      <c r="Q34" t="s">
        <v>43</v>
      </c>
    </row>
    <row r="35" spans="1:17" x14ac:dyDescent="0.25">
      <c r="A35" s="17"/>
      <c r="B35" s="17"/>
      <c r="C35" s="17"/>
      <c r="D35" s="17"/>
      <c r="E35" s="17"/>
      <c r="F35" s="17"/>
      <c r="G35" s="17"/>
      <c r="H35" s="17"/>
      <c r="I35" s="71" t="s">
        <v>44</v>
      </c>
      <c r="J35" s="71"/>
      <c r="K35" s="71"/>
      <c r="L35" s="3" t="str">
        <f>IF(AND($K$29&gt;=500000,$K$29&lt;1000000),"TAK","NIE")</f>
        <v>TAK</v>
      </c>
      <c r="M35" s="4">
        <v>0.75</v>
      </c>
    </row>
    <row r="36" spans="1:17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</row>
    <row r="37" spans="1:17" ht="18.75" x14ac:dyDescent="0.3">
      <c r="A37" s="61" t="s">
        <v>37</v>
      </c>
      <c r="B37" s="62"/>
      <c r="C37" s="63"/>
      <c r="D37" s="17"/>
      <c r="E37" s="17"/>
      <c r="F37" s="17"/>
      <c r="G37" s="17"/>
      <c r="H37" s="17"/>
      <c r="I37" s="86" t="s">
        <v>41</v>
      </c>
      <c r="J37" s="86"/>
      <c r="K37" s="86"/>
      <c r="L37" s="84">
        <f>K29</f>
        <v>520167</v>
      </c>
      <c r="M37" s="85"/>
    </row>
    <row r="38" spans="1:17" x14ac:dyDescent="0.25">
      <c r="A38" s="78" t="s">
        <v>38</v>
      </c>
      <c r="B38" s="79"/>
      <c r="C38" s="80"/>
      <c r="D38" s="17"/>
      <c r="E38" s="17"/>
      <c r="F38" s="17"/>
      <c r="G38" s="17"/>
      <c r="H38" s="17"/>
      <c r="I38" s="81" t="s">
        <v>42</v>
      </c>
      <c r="J38" s="82"/>
      <c r="K38" s="82"/>
      <c r="L38" s="82"/>
      <c r="M38" s="5">
        <f>VLOOKUP(Q34,L33:M35,2,)</f>
        <v>0.75</v>
      </c>
    </row>
    <row r="39" spans="1:17" x14ac:dyDescent="0.25">
      <c r="A39" s="17"/>
      <c r="B39" s="17"/>
      <c r="C39" s="17"/>
      <c r="D39" s="17"/>
      <c r="E39" s="17"/>
      <c r="F39" s="17"/>
      <c r="G39" s="17"/>
      <c r="H39" s="17"/>
      <c r="I39" s="83"/>
      <c r="J39" s="83"/>
      <c r="K39" s="83"/>
      <c r="L39" s="83"/>
      <c r="M39" s="83"/>
    </row>
    <row r="40" spans="1:17" ht="24.75" customHeight="1" x14ac:dyDescent="0.35">
      <c r="A40" s="17"/>
      <c r="B40" s="17"/>
      <c r="C40" s="17"/>
      <c r="D40" s="17"/>
      <c r="E40" s="17"/>
      <c r="F40" s="17"/>
      <c r="G40" s="17"/>
      <c r="H40" s="17"/>
      <c r="I40" s="6" t="s">
        <v>45</v>
      </c>
      <c r="J40" s="2"/>
      <c r="K40" s="2"/>
      <c r="L40" s="77">
        <f>F29+I29-I29*M38</f>
        <v>447216.75</v>
      </c>
      <c r="M40" s="60"/>
    </row>
  </sheetData>
  <sheetProtection algorithmName="SHA-512" hashValue="HHAsNZOcm4MNh4KO9QtBNI3+eIJWunqOCdVS1qdIT9XbsRIZmCJ1zBt/Assk1c9HXmZsiIodQuD093TpV2hiKg==" saltValue="04lnDa9HWHN4CRmRPC6leA==" spinCount="100000" sheet="1" objects="1" scenarios="1" selectLockedCells="1" selectUnlockedCells="1"/>
  <mergeCells count="74">
    <mergeCell ref="A37:C37"/>
    <mergeCell ref="A38:C38"/>
    <mergeCell ref="I38:L38"/>
    <mergeCell ref="I39:M39"/>
    <mergeCell ref="L37:M37"/>
    <mergeCell ref="I37:K37"/>
    <mergeCell ref="F29:H29"/>
    <mergeCell ref="I29:J29"/>
    <mergeCell ref="K29:M29"/>
    <mergeCell ref="L40:M40"/>
    <mergeCell ref="I32:K32"/>
    <mergeCell ref="I33:K33"/>
    <mergeCell ref="I34:K34"/>
    <mergeCell ref="I35:K35"/>
    <mergeCell ref="B22:E22"/>
    <mergeCell ref="B23:E23"/>
    <mergeCell ref="L25:M25"/>
    <mergeCell ref="F28:H28"/>
    <mergeCell ref="I28:J28"/>
    <mergeCell ref="K28:M28"/>
    <mergeCell ref="B25:E25"/>
    <mergeCell ref="F25:G25"/>
    <mergeCell ref="H25:I25"/>
    <mergeCell ref="J25:K25"/>
    <mergeCell ref="J24:K24"/>
    <mergeCell ref="H22:I22"/>
    <mergeCell ref="H23:I23"/>
    <mergeCell ref="F24:G24"/>
    <mergeCell ref="H24:I24"/>
    <mergeCell ref="F22:G22"/>
    <mergeCell ref="B20:E20"/>
    <mergeCell ref="F20:G20"/>
    <mergeCell ref="H20:I20"/>
    <mergeCell ref="H21:I21"/>
    <mergeCell ref="B19:E19"/>
    <mergeCell ref="B21:E21"/>
    <mergeCell ref="B24:E24"/>
    <mergeCell ref="A17:M17"/>
    <mergeCell ref="B18:E18"/>
    <mergeCell ref="F18:G18"/>
    <mergeCell ref="F19:G19"/>
    <mergeCell ref="F21:G21"/>
    <mergeCell ref="H18:I18"/>
    <mergeCell ref="J18:K18"/>
    <mergeCell ref="L18:M18"/>
    <mergeCell ref="H19:I19"/>
    <mergeCell ref="J21:K21"/>
    <mergeCell ref="L24:M24"/>
    <mergeCell ref="J22:K22"/>
    <mergeCell ref="J23:K23"/>
    <mergeCell ref="L19:M19"/>
    <mergeCell ref="L20:M20"/>
    <mergeCell ref="F23:G23"/>
    <mergeCell ref="H10:M10"/>
    <mergeCell ref="H11:M11"/>
    <mergeCell ref="H12:M12"/>
    <mergeCell ref="H13:M13"/>
    <mergeCell ref="H14:M14"/>
    <mergeCell ref="A10:F10"/>
    <mergeCell ref="A11:F11"/>
    <mergeCell ref="A12:F12"/>
    <mergeCell ref="A13:F13"/>
    <mergeCell ref="A14:F14"/>
    <mergeCell ref="J19:K19"/>
    <mergeCell ref="J20:K20"/>
    <mergeCell ref="L21:M21"/>
    <mergeCell ref="L22:M22"/>
    <mergeCell ref="L23:M23"/>
    <mergeCell ref="H8:M8"/>
    <mergeCell ref="H3:M3"/>
    <mergeCell ref="H4:M4"/>
    <mergeCell ref="H5:M5"/>
    <mergeCell ref="H6:M6"/>
    <mergeCell ref="H7:M7"/>
  </mergeCells>
  <pageMargins left="0.7" right="0.7" top="0.75" bottom="0.75" header="0.3" footer="0.3"/>
  <ignoredErrors>
    <ignoredError sqref="J22 L22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Wejście</vt:lpstr>
      <vt:lpstr>Salon BMW</vt:lpstr>
      <vt:lpstr>Faktura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Namieciński</dc:creator>
  <cp:lastModifiedBy>Karol Namieciński</cp:lastModifiedBy>
  <dcterms:created xsi:type="dcterms:W3CDTF">2022-01-28T20:40:20Z</dcterms:created>
  <dcterms:modified xsi:type="dcterms:W3CDTF">2022-02-02T13:16:07Z</dcterms:modified>
</cp:coreProperties>
</file>